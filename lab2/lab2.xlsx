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rojects\AnalizDannih\lab2\"/>
    </mc:Choice>
  </mc:AlternateContent>
  <xr:revisionPtr revIDLastSave="0" documentId="13_ncr:1_{90D1CE46-9A84-4DAE-AABC-CFFC943CCBC7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Лист1" sheetId="1" r:id="rId1"/>
  </sheets>
  <definedNames>
    <definedName name="n">Лист1!$A$2</definedName>
    <definedName name="start">Лист1!$C$3</definedName>
    <definedName name="start_y">Лист1!$H$8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F48" i="1"/>
  <c r="D48" i="1"/>
  <c r="A2" i="1"/>
  <c r="C48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5" i="1"/>
  <c r="I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5" i="1"/>
  <c r="H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5" i="1"/>
  <c r="G4" i="1"/>
  <c r="E4" i="1"/>
  <c r="E5" i="1"/>
  <c r="E6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5" i="1"/>
  <c r="D4" i="1"/>
</calcChain>
</file>

<file path=xl/sharedStrings.xml><?xml version="1.0" encoding="utf-8"?>
<sst xmlns="http://schemas.openxmlformats.org/spreadsheetml/2006/main" count="17" uniqueCount="8">
  <si>
    <t>Год</t>
  </si>
  <si>
    <t>Число
антропогенных
катастроф</t>
  </si>
  <si>
    <t>Абсолютный
прирост ∆y</t>
  </si>
  <si>
    <t>Цепной</t>
  </si>
  <si>
    <t>Базисный</t>
  </si>
  <si>
    <t>Темп роста T</t>
  </si>
  <si>
    <t>Темп прироста 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</si>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</sst>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F48" sqref="F48"/>
    </sheetView>
  </sheetViews>
  <sheetFormatPr defaultRowHeight="15" x14ac:dyDescent="0.25"/>
  <cols>
    <col min="3" max="3" width="15.28515625" bestFit="1" customWidth="1"/>
    <col min="4" max="4" width="8.140625" bestFit="1" customWidth="1"/>
    <col min="5" max="5" width="9.7109375" bestFit="1" customWidth="1"/>
    <col min="6" max="6" width="8.140625" bestFit="1" customWidth="1"/>
    <col min="7" max="7" width="9.7109375" bestFit="1" customWidth="1"/>
    <col min="8" max="8" width="9.140625" bestFit="1" customWidth="1"/>
    <col min="9" max="9" width="9.7109375" bestFit="1" customWidth="1"/>
  </cols>
  <sheetData>
    <row r="1" spans="1:9" ht="29.25" customHeight="1" x14ac:dyDescent="0.25">
      <c r="B1" s="2" t="s">
        <v>0</v>
      </c>
      <c r="C1" s="3" t="s">
        <v>1</v>
      </c>
      <c r="D1" s="3" t="s">
        <v>2</v>
      </c>
      <c r="E1" s="2"/>
      <c r="F1" s="2" t="s">
        <v>5</v>
      </c>
      <c r="G1" s="2"/>
      <c r="H1" s="2" t="s">
        <v>6</v>
      </c>
      <c r="I1" s="2"/>
    </row>
    <row r="2" spans="1:9" ht="24" customHeight="1" x14ac:dyDescent="0.25">
      <c r="A2">
        <f>COUNT(B3:B46)</f>
        <v>44</v>
      </c>
      <c r="B2" s="2"/>
      <c r="C2" s="3"/>
      <c r="D2" s="4" t="s">
        <v>3</v>
      </c>
      <c r="E2" s="4" t="s">
        <v>4</v>
      </c>
      <c r="F2" s="4" t="s">
        <v>3</v>
      </c>
      <c r="G2" s="4" t="s">
        <v>4</v>
      </c>
      <c r="H2" s="4" t="s">
        <v>3</v>
      </c>
      <c r="I2" s="4" t="s">
        <v>4</v>
      </c>
    </row>
    <row r="3" spans="1:9" x14ac:dyDescent="0.25">
      <c r="B3">
        <v>1977</v>
      </c>
      <c r="C3">
        <v>61</v>
      </c>
      <c r="D3" s="1" t="s">
        <v>7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</row>
    <row r="4" spans="1:9" x14ac:dyDescent="0.25">
      <c r="B4">
        <v>1978</v>
      </c>
      <c r="C4">
        <v>72</v>
      </c>
      <c r="D4">
        <f>C4-C3</f>
        <v>11</v>
      </c>
      <c r="E4">
        <f>SUM(D4:D4)</f>
        <v>11</v>
      </c>
      <c r="F4" s="5">
        <f>C4/C3*100</f>
        <v>118.0327868852459</v>
      </c>
      <c r="G4" s="5">
        <f>C4/start*100</f>
        <v>118.0327868852459</v>
      </c>
      <c r="H4" s="5">
        <f>C4/C3*100 - 100</f>
        <v>18.032786885245898</v>
      </c>
      <c r="I4" s="5">
        <f>C4/start*100 - 100</f>
        <v>18.032786885245898</v>
      </c>
    </row>
    <row r="5" spans="1:9" x14ac:dyDescent="0.25">
      <c r="B5">
        <v>1979</v>
      </c>
      <c r="C5">
        <v>87</v>
      </c>
      <c r="D5">
        <f>C5-C4</f>
        <v>15</v>
      </c>
      <c r="E5">
        <f>SUM(D4:D5)</f>
        <v>26</v>
      </c>
      <c r="F5" s="5">
        <f t="shared" ref="F5:F46" si="0">C5/C4*100</f>
        <v>120.83333333333333</v>
      </c>
      <c r="G5" s="5">
        <f>C5/start*100</f>
        <v>142.62295081967213</v>
      </c>
      <c r="H5" s="5">
        <f>C5/C4*100 - 100</f>
        <v>20.833333333333329</v>
      </c>
      <c r="I5" s="5">
        <f>C5/start*100 - 100</f>
        <v>42.622950819672127</v>
      </c>
    </row>
    <row r="6" spans="1:9" x14ac:dyDescent="0.25">
      <c r="B6">
        <v>1980</v>
      </c>
      <c r="C6">
        <v>82</v>
      </c>
      <c r="D6">
        <f t="shared" ref="D6:D46" si="1">C6-C5</f>
        <v>-5</v>
      </c>
      <c r="E6">
        <f>SUM(D4:D6)</f>
        <v>21</v>
      </c>
      <c r="F6" s="5">
        <f t="shared" si="0"/>
        <v>94.252873563218387</v>
      </c>
      <c r="G6" s="5">
        <f>C6/start*100</f>
        <v>134.42622950819671</v>
      </c>
      <c r="H6" s="5">
        <f t="shared" ref="H6:H46" si="2">C6/C5*100 - 100</f>
        <v>-5.7471264367816133</v>
      </c>
      <c r="I6" s="5">
        <f>C6/start*100 - 100</f>
        <v>34.426229508196712</v>
      </c>
    </row>
    <row r="7" spans="1:9" x14ac:dyDescent="0.25">
      <c r="B7">
        <v>1981</v>
      </c>
      <c r="C7">
        <v>78</v>
      </c>
      <c r="D7">
        <f t="shared" si="1"/>
        <v>-4</v>
      </c>
      <c r="E7">
        <f>SUM(D4:D7)</f>
        <v>17</v>
      </c>
      <c r="F7" s="5">
        <f t="shared" si="0"/>
        <v>95.121951219512198</v>
      </c>
      <c r="G7" s="5">
        <f>C7/start*100</f>
        <v>127.86885245901641</v>
      </c>
      <c r="H7" s="5">
        <f t="shared" si="2"/>
        <v>-4.8780487804878021</v>
      </c>
      <c r="I7" s="5">
        <f>C7/start*100 - 100</f>
        <v>27.868852459016409</v>
      </c>
    </row>
    <row r="8" spans="1:9" x14ac:dyDescent="0.25">
      <c r="B8">
        <v>1982</v>
      </c>
      <c r="C8">
        <v>71</v>
      </c>
      <c r="D8">
        <f t="shared" si="1"/>
        <v>-7</v>
      </c>
      <c r="E8">
        <f>SUM(D4:D8)</f>
        <v>10</v>
      </c>
      <c r="F8" s="5">
        <f t="shared" si="0"/>
        <v>91.025641025641022</v>
      </c>
      <c r="G8" s="5">
        <f>C8/start*100</f>
        <v>116.39344262295081</v>
      </c>
      <c r="H8" s="5">
        <f t="shared" si="2"/>
        <v>-8.974358974358978</v>
      </c>
      <c r="I8" s="5">
        <f>C8/start*100 - 100</f>
        <v>16.393442622950815</v>
      </c>
    </row>
    <row r="9" spans="1:9" x14ac:dyDescent="0.25">
      <c r="B9">
        <v>1983</v>
      </c>
      <c r="C9">
        <v>79</v>
      </c>
      <c r="D9">
        <f t="shared" si="1"/>
        <v>8</v>
      </c>
      <c r="E9">
        <f>SUM(D4:D9)</f>
        <v>18</v>
      </c>
      <c r="F9" s="5">
        <f t="shared" si="0"/>
        <v>111.26760563380283</v>
      </c>
      <c r="G9" s="5">
        <f>C9/start*100</f>
        <v>129.50819672131149</v>
      </c>
      <c r="H9" s="5">
        <f t="shared" si="2"/>
        <v>11.26760563380283</v>
      </c>
      <c r="I9" s="5">
        <f>C9/start*100 - 100</f>
        <v>29.508196721311492</v>
      </c>
    </row>
    <row r="10" spans="1:9" x14ac:dyDescent="0.25">
      <c r="B10">
        <v>1984</v>
      </c>
      <c r="C10">
        <v>80</v>
      </c>
      <c r="D10">
        <f t="shared" si="1"/>
        <v>1</v>
      </c>
      <c r="E10">
        <f>SUM(D4:D10)</f>
        <v>19</v>
      </c>
      <c r="F10" s="5">
        <f t="shared" si="0"/>
        <v>101.26582278481013</v>
      </c>
      <c r="G10" s="5">
        <f>C10/start*100</f>
        <v>131.14754098360655</v>
      </c>
      <c r="H10" s="5">
        <f t="shared" si="2"/>
        <v>1.2658227848101262</v>
      </c>
      <c r="I10" s="5">
        <f>C10/start*100 - 100</f>
        <v>31.147540983606547</v>
      </c>
    </row>
    <row r="11" spans="1:9" x14ac:dyDescent="0.25">
      <c r="B11">
        <v>1985</v>
      </c>
      <c r="C11">
        <v>70</v>
      </c>
      <c r="D11">
        <f t="shared" si="1"/>
        <v>-10</v>
      </c>
      <c r="E11">
        <f>SUM(D4:D11)</f>
        <v>9</v>
      </c>
      <c r="F11" s="5">
        <f t="shared" si="0"/>
        <v>87.5</v>
      </c>
      <c r="G11" s="5">
        <f>C11/start*100</f>
        <v>114.75409836065573</v>
      </c>
      <c r="H11" s="5">
        <f t="shared" si="2"/>
        <v>-12.5</v>
      </c>
      <c r="I11" s="5">
        <f>C11/start*100 - 100</f>
        <v>14.754098360655732</v>
      </c>
    </row>
    <row r="12" spans="1:9" x14ac:dyDescent="0.25">
      <c r="B12">
        <v>1986</v>
      </c>
      <c r="C12">
        <v>80</v>
      </c>
      <c r="D12">
        <f t="shared" si="1"/>
        <v>10</v>
      </c>
      <c r="E12">
        <f>SUM(D4:D12)</f>
        <v>19</v>
      </c>
      <c r="F12" s="5">
        <f t="shared" si="0"/>
        <v>114.28571428571428</v>
      </c>
      <c r="G12" s="5">
        <f>C12/start*100</f>
        <v>131.14754098360655</v>
      </c>
      <c r="H12" s="5">
        <f t="shared" si="2"/>
        <v>14.285714285714278</v>
      </c>
      <c r="I12" s="5">
        <f>C12/start*100 - 100</f>
        <v>31.147540983606547</v>
      </c>
    </row>
    <row r="13" spans="1:9" x14ac:dyDescent="0.25">
      <c r="B13">
        <v>1987</v>
      </c>
      <c r="C13">
        <v>83</v>
      </c>
      <c r="D13">
        <f t="shared" si="1"/>
        <v>3</v>
      </c>
      <c r="E13">
        <f>SUM(D4:D13)</f>
        <v>22</v>
      </c>
      <c r="F13" s="5">
        <f t="shared" si="0"/>
        <v>103.75000000000001</v>
      </c>
      <c r="G13" s="5">
        <f>C13/start*100</f>
        <v>136.0655737704918</v>
      </c>
      <c r="H13" s="5">
        <f t="shared" si="2"/>
        <v>3.7500000000000142</v>
      </c>
      <c r="I13" s="5">
        <f>C13/start*100 - 100</f>
        <v>36.065573770491795</v>
      </c>
    </row>
    <row r="14" spans="1:9" x14ac:dyDescent="0.25">
      <c r="B14">
        <v>1988</v>
      </c>
      <c r="C14">
        <v>74</v>
      </c>
      <c r="D14">
        <f t="shared" si="1"/>
        <v>-9</v>
      </c>
      <c r="E14">
        <f>SUM(D4:D14)</f>
        <v>13</v>
      </c>
      <c r="F14" s="5">
        <f t="shared" si="0"/>
        <v>89.156626506024097</v>
      </c>
      <c r="G14" s="5">
        <f>C14/start*100</f>
        <v>121.31147540983606</v>
      </c>
      <c r="H14" s="5">
        <f t="shared" si="2"/>
        <v>-10.843373493975903</v>
      </c>
      <c r="I14" s="5">
        <f>C14/start*100 - 100</f>
        <v>21.311475409836063</v>
      </c>
    </row>
    <row r="15" spans="1:9" x14ac:dyDescent="0.25">
      <c r="B15">
        <v>1989</v>
      </c>
      <c r="C15">
        <v>73</v>
      </c>
      <c r="D15">
        <f t="shared" si="1"/>
        <v>-1</v>
      </c>
      <c r="E15">
        <f>SUM(D4:D15)</f>
        <v>12</v>
      </c>
      <c r="F15" s="5">
        <f t="shared" si="0"/>
        <v>98.648648648648646</v>
      </c>
      <c r="G15" s="5">
        <f>C15/start*100</f>
        <v>119.67213114754098</v>
      </c>
      <c r="H15" s="5">
        <f t="shared" si="2"/>
        <v>-1.3513513513513544</v>
      </c>
      <c r="I15" s="5">
        <f>C15/start*100 - 100</f>
        <v>19.672131147540981</v>
      </c>
    </row>
    <row r="16" spans="1:9" x14ac:dyDescent="0.25">
      <c r="B16">
        <v>1990</v>
      </c>
      <c r="C16">
        <v>82</v>
      </c>
      <c r="D16">
        <f t="shared" si="1"/>
        <v>9</v>
      </c>
      <c r="E16">
        <f>SUM(D4:D16)</f>
        <v>21</v>
      </c>
      <c r="F16" s="5">
        <f t="shared" si="0"/>
        <v>112.32876712328768</v>
      </c>
      <c r="G16" s="5">
        <f>C16/start*100</f>
        <v>134.42622950819671</v>
      </c>
      <c r="H16" s="5">
        <f t="shared" si="2"/>
        <v>12.328767123287676</v>
      </c>
      <c r="I16" s="5">
        <f>C16/start*100 - 100</f>
        <v>34.426229508196712</v>
      </c>
    </row>
    <row r="17" spans="2:9" x14ac:dyDescent="0.25">
      <c r="B17">
        <v>1991</v>
      </c>
      <c r="C17">
        <v>61</v>
      </c>
      <c r="D17">
        <f t="shared" si="1"/>
        <v>-21</v>
      </c>
      <c r="E17">
        <f>SUM(D4:D17)</f>
        <v>0</v>
      </c>
      <c r="F17" s="5">
        <f t="shared" si="0"/>
        <v>74.390243902439025</v>
      </c>
      <c r="G17" s="5">
        <f>C17/start*100</f>
        <v>100</v>
      </c>
      <c r="H17" s="5">
        <f t="shared" si="2"/>
        <v>-25.609756097560975</v>
      </c>
      <c r="I17" s="5">
        <f>C17/start*100 - 100</f>
        <v>0</v>
      </c>
    </row>
    <row r="18" spans="2:9" x14ac:dyDescent="0.25">
      <c r="B18">
        <v>1992</v>
      </c>
      <c r="C18">
        <v>75</v>
      </c>
      <c r="D18">
        <f t="shared" si="1"/>
        <v>14</v>
      </c>
      <c r="E18">
        <f>SUM(D4:D18)</f>
        <v>14</v>
      </c>
      <c r="F18" s="5">
        <f t="shared" si="0"/>
        <v>122.95081967213115</v>
      </c>
      <c r="G18" s="5">
        <f>C18/start*100</f>
        <v>122.95081967213115</v>
      </c>
      <c r="H18" s="5">
        <f t="shared" si="2"/>
        <v>22.950819672131146</v>
      </c>
      <c r="I18" s="5">
        <f>C18/start*100 - 100</f>
        <v>22.950819672131146</v>
      </c>
    </row>
    <row r="19" spans="2:9" x14ac:dyDescent="0.25">
      <c r="B19">
        <v>1993</v>
      </c>
      <c r="C19">
        <v>86</v>
      </c>
      <c r="D19">
        <f t="shared" si="1"/>
        <v>11</v>
      </c>
      <c r="E19">
        <f>SUM(D4:D19)</f>
        <v>25</v>
      </c>
      <c r="F19" s="5">
        <f t="shared" si="0"/>
        <v>114.66666666666667</v>
      </c>
      <c r="G19" s="5">
        <f>C19/start*100</f>
        <v>140.98360655737704</v>
      </c>
      <c r="H19" s="5">
        <f t="shared" si="2"/>
        <v>14.666666666666671</v>
      </c>
      <c r="I19" s="5">
        <f>C19/start*100 - 100</f>
        <v>40.983606557377044</v>
      </c>
    </row>
    <row r="20" spans="2:9" x14ac:dyDescent="0.25">
      <c r="B20">
        <v>1994</v>
      </c>
      <c r="C20">
        <v>113</v>
      </c>
      <c r="D20">
        <f t="shared" si="1"/>
        <v>27</v>
      </c>
      <c r="E20">
        <f>SUM(D4:D20)</f>
        <v>52</v>
      </c>
      <c r="F20" s="5">
        <f t="shared" si="0"/>
        <v>131.3953488372093</v>
      </c>
      <c r="G20" s="5">
        <f>C20/start*100</f>
        <v>185.24590163934425</v>
      </c>
      <c r="H20" s="5">
        <f t="shared" si="2"/>
        <v>31.395348837209298</v>
      </c>
      <c r="I20" s="5">
        <f>C20/start*100 - 100</f>
        <v>85.245901639344254</v>
      </c>
    </row>
    <row r="21" spans="2:9" x14ac:dyDescent="0.25">
      <c r="B21">
        <v>1995</v>
      </c>
      <c r="C21">
        <v>123</v>
      </c>
      <c r="D21">
        <f t="shared" si="1"/>
        <v>10</v>
      </c>
      <c r="E21">
        <f>SUM(D4:D21)</f>
        <v>62</v>
      </c>
      <c r="F21" s="5">
        <f t="shared" si="0"/>
        <v>108.84955752212389</v>
      </c>
      <c r="G21" s="5">
        <f>C21/start*100</f>
        <v>201.63934426229505</v>
      </c>
      <c r="H21" s="5">
        <f t="shared" si="2"/>
        <v>8.849557522123888</v>
      </c>
      <c r="I21" s="5">
        <f>C21/start*100 - 100</f>
        <v>101.63934426229505</v>
      </c>
    </row>
    <row r="22" spans="2:9" x14ac:dyDescent="0.25">
      <c r="B22">
        <v>1996</v>
      </c>
      <c r="C22">
        <v>129</v>
      </c>
      <c r="D22">
        <f t="shared" si="1"/>
        <v>6</v>
      </c>
      <c r="E22">
        <f>SUM(D4:D22)</f>
        <v>68</v>
      </c>
      <c r="F22" s="5">
        <f t="shared" si="0"/>
        <v>104.8780487804878</v>
      </c>
      <c r="G22" s="5">
        <f>C22/start*100</f>
        <v>211.47540983606555</v>
      </c>
      <c r="H22" s="5">
        <f t="shared" si="2"/>
        <v>4.8780487804878021</v>
      </c>
      <c r="I22" s="5">
        <f>C22/start*100 - 100</f>
        <v>111.47540983606555</v>
      </c>
    </row>
    <row r="23" spans="2:9" x14ac:dyDescent="0.25">
      <c r="B23">
        <v>1997</v>
      </c>
      <c r="C23">
        <v>134</v>
      </c>
      <c r="D23">
        <f t="shared" si="1"/>
        <v>5</v>
      </c>
      <c r="E23">
        <f>SUM(D4:D23)</f>
        <v>73</v>
      </c>
      <c r="F23" s="5">
        <f t="shared" si="0"/>
        <v>103.87596899224806</v>
      </c>
      <c r="G23" s="5">
        <f>C23/start*100</f>
        <v>219.67213114754099</v>
      </c>
      <c r="H23" s="5">
        <f t="shared" si="2"/>
        <v>3.8759689922480618</v>
      </c>
      <c r="I23" s="5">
        <f>C23/start*100 - 100</f>
        <v>119.67213114754099</v>
      </c>
    </row>
    <row r="24" spans="2:9" x14ac:dyDescent="0.25">
      <c r="B24">
        <v>1998</v>
      </c>
      <c r="C24">
        <v>145</v>
      </c>
      <c r="D24">
        <f t="shared" si="1"/>
        <v>11</v>
      </c>
      <c r="E24">
        <f>SUM(D4:D24)</f>
        <v>84</v>
      </c>
      <c r="F24" s="5">
        <f t="shared" si="0"/>
        <v>108.20895522388059</v>
      </c>
      <c r="G24" s="5">
        <f>C24/start*100</f>
        <v>237.70491803278691</v>
      </c>
      <c r="H24" s="5">
        <f t="shared" si="2"/>
        <v>8.2089552238805936</v>
      </c>
      <c r="I24" s="5">
        <f>C24/start*100 - 100</f>
        <v>137.70491803278691</v>
      </c>
    </row>
    <row r="25" spans="2:9" x14ac:dyDescent="0.25">
      <c r="B25">
        <v>1999</v>
      </c>
      <c r="C25">
        <v>129</v>
      </c>
      <c r="D25">
        <f t="shared" si="1"/>
        <v>-16</v>
      </c>
      <c r="E25">
        <f>SUM(D4:D25)</f>
        <v>68</v>
      </c>
      <c r="F25" s="5">
        <f t="shared" si="0"/>
        <v>88.965517241379317</v>
      </c>
      <c r="G25" s="5">
        <f>C25/start*100</f>
        <v>211.47540983606555</v>
      </c>
      <c r="H25" s="5">
        <f t="shared" si="2"/>
        <v>-11.034482758620683</v>
      </c>
      <c r="I25" s="5">
        <f>C25/start*100 - 100</f>
        <v>111.47540983606555</v>
      </c>
    </row>
    <row r="26" spans="2:9" x14ac:dyDescent="0.25">
      <c r="B26">
        <v>2000</v>
      </c>
      <c r="C26">
        <v>169</v>
      </c>
      <c r="D26">
        <f t="shared" si="1"/>
        <v>40</v>
      </c>
      <c r="E26">
        <f>SUM(D4:D26)</f>
        <v>108</v>
      </c>
      <c r="F26" s="5">
        <f t="shared" si="0"/>
        <v>131.00775193798449</v>
      </c>
      <c r="G26" s="5">
        <f>C26/start*100</f>
        <v>277.0491803278689</v>
      </c>
      <c r="H26" s="5">
        <f t="shared" si="2"/>
        <v>31.007751937984494</v>
      </c>
      <c r="I26" s="5">
        <f>C26/start*100 - 100</f>
        <v>177.0491803278689</v>
      </c>
    </row>
    <row r="27" spans="2:9" x14ac:dyDescent="0.25">
      <c r="B27">
        <v>2001</v>
      </c>
      <c r="C27">
        <v>177</v>
      </c>
      <c r="D27">
        <f t="shared" si="1"/>
        <v>8</v>
      </c>
      <c r="E27">
        <f>SUM(D4:D27)</f>
        <v>116</v>
      </c>
      <c r="F27" s="5">
        <f t="shared" si="0"/>
        <v>104.73372781065089</v>
      </c>
      <c r="G27" s="5">
        <f>C27/start*100</f>
        <v>290.1639344262295</v>
      </c>
      <c r="H27" s="5">
        <f t="shared" si="2"/>
        <v>4.7337278106508904</v>
      </c>
      <c r="I27" s="5">
        <f>C27/start*100 - 100</f>
        <v>190.1639344262295</v>
      </c>
    </row>
    <row r="28" spans="2:9" x14ac:dyDescent="0.25">
      <c r="B28">
        <v>2002</v>
      </c>
      <c r="C28">
        <v>140</v>
      </c>
      <c r="D28">
        <f t="shared" si="1"/>
        <v>-37</v>
      </c>
      <c r="E28">
        <f>SUM(D4:D28)</f>
        <v>79</v>
      </c>
      <c r="F28" s="5">
        <f t="shared" si="0"/>
        <v>79.096045197740111</v>
      </c>
      <c r="G28" s="5">
        <f>C28/start*100</f>
        <v>229.50819672131146</v>
      </c>
      <c r="H28" s="5">
        <f t="shared" si="2"/>
        <v>-20.903954802259889</v>
      </c>
      <c r="I28" s="5">
        <f>C28/start*100 - 100</f>
        <v>129.50819672131146</v>
      </c>
    </row>
    <row r="29" spans="2:9" x14ac:dyDescent="0.25">
      <c r="B29">
        <v>2003</v>
      </c>
      <c r="C29">
        <v>175</v>
      </c>
      <c r="D29">
        <f t="shared" si="1"/>
        <v>35</v>
      </c>
      <c r="E29">
        <f>SUM(D4:D29)</f>
        <v>114</v>
      </c>
      <c r="F29" s="5">
        <f t="shared" si="0"/>
        <v>125</v>
      </c>
      <c r="G29" s="5">
        <f>C29/start*100</f>
        <v>286.88524590163934</v>
      </c>
      <c r="H29" s="5">
        <f t="shared" si="2"/>
        <v>25</v>
      </c>
      <c r="I29" s="5">
        <f>C29/start*100 - 100</f>
        <v>186.88524590163934</v>
      </c>
    </row>
    <row r="30" spans="2:9" x14ac:dyDescent="0.25">
      <c r="B30">
        <v>2004</v>
      </c>
      <c r="C30">
        <v>170</v>
      </c>
      <c r="D30">
        <f t="shared" si="1"/>
        <v>-5</v>
      </c>
      <c r="E30">
        <f>SUM(D4:D30)</f>
        <v>109</v>
      </c>
      <c r="F30" s="5">
        <f t="shared" si="0"/>
        <v>97.142857142857139</v>
      </c>
      <c r="G30" s="5">
        <f>C30/start*100</f>
        <v>278.68852459016392</v>
      </c>
      <c r="H30" s="5">
        <f t="shared" si="2"/>
        <v>-2.8571428571428612</v>
      </c>
      <c r="I30" s="5">
        <f>C30/start*100 - 100</f>
        <v>178.68852459016392</v>
      </c>
    </row>
    <row r="31" spans="2:9" x14ac:dyDescent="0.25">
      <c r="B31">
        <v>2005</v>
      </c>
      <c r="C31">
        <v>161</v>
      </c>
      <c r="D31">
        <f t="shared" si="1"/>
        <v>-9</v>
      </c>
      <c r="E31">
        <f>SUM(D4:D31)</f>
        <v>100</v>
      </c>
      <c r="F31" s="5">
        <f t="shared" si="0"/>
        <v>94.705882352941174</v>
      </c>
      <c r="G31" s="5">
        <f>C31/start*100</f>
        <v>263.93442622950818</v>
      </c>
      <c r="H31" s="5">
        <f t="shared" si="2"/>
        <v>-5.294117647058826</v>
      </c>
      <c r="I31" s="5">
        <f>C31/start*100 - 100</f>
        <v>163.93442622950818</v>
      </c>
    </row>
    <row r="32" spans="2:9" x14ac:dyDescent="0.25">
      <c r="B32">
        <v>2006</v>
      </c>
      <c r="C32">
        <v>148</v>
      </c>
      <c r="D32">
        <f t="shared" si="1"/>
        <v>-13</v>
      </c>
      <c r="E32">
        <f>SUM(D4:D32)</f>
        <v>87</v>
      </c>
      <c r="F32" s="5">
        <f t="shared" si="0"/>
        <v>91.925465838509311</v>
      </c>
      <c r="G32" s="5">
        <f>C32/start*100</f>
        <v>242.62295081967213</v>
      </c>
      <c r="H32" s="5">
        <f t="shared" si="2"/>
        <v>-8.0745341614906891</v>
      </c>
      <c r="I32" s="5">
        <f>C32/start*100 - 100</f>
        <v>142.62295081967213</v>
      </c>
    </row>
    <row r="33" spans="2:9" x14ac:dyDescent="0.25">
      <c r="B33">
        <v>2007</v>
      </c>
      <c r="C33">
        <v>165</v>
      </c>
      <c r="D33">
        <f t="shared" si="1"/>
        <v>17</v>
      </c>
      <c r="E33">
        <f>SUM(D4:D33)</f>
        <v>104</v>
      </c>
      <c r="F33" s="5">
        <f t="shared" si="0"/>
        <v>111.48648648648648</v>
      </c>
      <c r="G33" s="5">
        <f>C33/start*100</f>
        <v>270.49180327868851</v>
      </c>
      <c r="H33" s="5">
        <f t="shared" si="2"/>
        <v>11.486486486486484</v>
      </c>
      <c r="I33" s="5">
        <f>C33/start*100 - 100</f>
        <v>170.49180327868851</v>
      </c>
    </row>
    <row r="34" spans="2:9" x14ac:dyDescent="0.25">
      <c r="B34">
        <v>2008</v>
      </c>
      <c r="C34">
        <v>162</v>
      </c>
      <c r="D34">
        <f t="shared" si="1"/>
        <v>-3</v>
      </c>
      <c r="E34">
        <f>SUM(D4:D34)</f>
        <v>101</v>
      </c>
      <c r="F34" s="5">
        <f t="shared" si="0"/>
        <v>98.181818181818187</v>
      </c>
      <c r="G34" s="5">
        <f>C34/start*100</f>
        <v>265.57377049180326</v>
      </c>
      <c r="H34" s="5">
        <f t="shared" si="2"/>
        <v>-1.818181818181813</v>
      </c>
      <c r="I34" s="5">
        <f>C34/start*100 - 100</f>
        <v>165.57377049180326</v>
      </c>
    </row>
    <row r="35" spans="2:9" x14ac:dyDescent="0.25">
      <c r="B35">
        <v>2009</v>
      </c>
      <c r="C35">
        <v>149</v>
      </c>
      <c r="D35">
        <f t="shared" si="1"/>
        <v>-13</v>
      </c>
      <c r="E35">
        <f>SUM(D4:D35)</f>
        <v>88</v>
      </c>
      <c r="F35" s="5">
        <f t="shared" si="0"/>
        <v>91.975308641975303</v>
      </c>
      <c r="G35" s="5">
        <f>C35/start*100</f>
        <v>244.26229508196718</v>
      </c>
      <c r="H35" s="5">
        <f t="shared" si="2"/>
        <v>-8.0246913580246968</v>
      </c>
      <c r="I35" s="5">
        <f>C35/start*100 - 100</f>
        <v>144.26229508196718</v>
      </c>
    </row>
    <row r="36" spans="2:9" x14ac:dyDescent="0.25">
      <c r="B36">
        <v>2010</v>
      </c>
      <c r="C36">
        <v>160</v>
      </c>
      <c r="D36">
        <f t="shared" si="1"/>
        <v>11</v>
      </c>
      <c r="E36">
        <f>SUM(D4:D36)</f>
        <v>99</v>
      </c>
      <c r="F36" s="5">
        <f t="shared" si="0"/>
        <v>107.38255033557047</v>
      </c>
      <c r="G36" s="5">
        <f>C36/start*100</f>
        <v>262.29508196721309</v>
      </c>
      <c r="H36" s="5">
        <f t="shared" si="2"/>
        <v>7.3825503355704711</v>
      </c>
      <c r="I36" s="5">
        <f>C36/start*100 - 100</f>
        <v>162.29508196721309</v>
      </c>
    </row>
    <row r="37" spans="2:9" x14ac:dyDescent="0.25">
      <c r="B37">
        <v>2011</v>
      </c>
      <c r="C37">
        <v>228</v>
      </c>
      <c r="D37">
        <f t="shared" si="1"/>
        <v>68</v>
      </c>
      <c r="E37">
        <f>SUM(D4:D37)</f>
        <v>167</v>
      </c>
      <c r="F37" s="5">
        <f t="shared" si="0"/>
        <v>142.5</v>
      </c>
      <c r="G37" s="5">
        <f>C37/start*100</f>
        <v>373.77049180327873</v>
      </c>
      <c r="H37" s="5">
        <f t="shared" si="2"/>
        <v>42.5</v>
      </c>
      <c r="I37" s="5">
        <f>C37/start*100 - 100</f>
        <v>273.77049180327873</v>
      </c>
    </row>
    <row r="38" spans="2:9" x14ac:dyDescent="0.25">
      <c r="B38">
        <v>2012</v>
      </c>
      <c r="C38">
        <v>256</v>
      </c>
      <c r="D38">
        <f t="shared" si="1"/>
        <v>28</v>
      </c>
      <c r="E38">
        <f>SUM(D4:D38)</f>
        <v>195</v>
      </c>
      <c r="F38" s="5">
        <f t="shared" si="0"/>
        <v>112.28070175438596</v>
      </c>
      <c r="G38" s="5">
        <f>C38/start*100</f>
        <v>419.67213114754099</v>
      </c>
      <c r="H38" s="5">
        <f t="shared" si="2"/>
        <v>12.280701754385959</v>
      </c>
      <c r="I38" s="5">
        <f>C38/start*100 - 100</f>
        <v>319.67213114754099</v>
      </c>
    </row>
    <row r="39" spans="2:9" x14ac:dyDescent="0.25">
      <c r="B39">
        <v>2013</v>
      </c>
      <c r="C39">
        <v>218</v>
      </c>
      <c r="D39">
        <f t="shared" si="1"/>
        <v>-38</v>
      </c>
      <c r="E39">
        <f>SUM(D4:D39)</f>
        <v>157</v>
      </c>
      <c r="F39" s="5">
        <f t="shared" si="0"/>
        <v>85.15625</v>
      </c>
      <c r="G39" s="5">
        <f>C39/start*100</f>
        <v>357.37704918032784</v>
      </c>
      <c r="H39" s="5">
        <f t="shared" si="2"/>
        <v>-14.84375</v>
      </c>
      <c r="I39" s="5">
        <f>C39/start*100 - 100</f>
        <v>257.37704918032784</v>
      </c>
    </row>
    <row r="40" spans="2:9" x14ac:dyDescent="0.25">
      <c r="B40">
        <v>2014</v>
      </c>
      <c r="C40">
        <v>205</v>
      </c>
      <c r="D40">
        <f t="shared" si="1"/>
        <v>-13</v>
      </c>
      <c r="E40">
        <f>SUM(D4:D40)</f>
        <v>144</v>
      </c>
      <c r="F40" s="5">
        <f t="shared" si="0"/>
        <v>94.036697247706428</v>
      </c>
      <c r="G40" s="5">
        <f>C40/start*100</f>
        <v>336.06557377049182</v>
      </c>
      <c r="H40" s="5">
        <f t="shared" si="2"/>
        <v>-5.963302752293572</v>
      </c>
      <c r="I40" s="5">
        <f>C40/start*100 - 100</f>
        <v>236.06557377049182</v>
      </c>
    </row>
    <row r="41" spans="2:9" x14ac:dyDescent="0.25">
      <c r="B41">
        <v>2015</v>
      </c>
      <c r="C41">
        <v>179</v>
      </c>
      <c r="D41">
        <f t="shared" si="1"/>
        <v>-26</v>
      </c>
      <c r="E41">
        <f>SUM(D4:D41)</f>
        <v>118</v>
      </c>
      <c r="F41" s="5">
        <f t="shared" si="0"/>
        <v>87.317073170731703</v>
      </c>
      <c r="G41" s="5">
        <f>C41/start*100</f>
        <v>293.44262295081967</v>
      </c>
      <c r="H41" s="5">
        <f t="shared" si="2"/>
        <v>-12.682926829268297</v>
      </c>
      <c r="I41" s="5">
        <f>C41/start*100 - 100</f>
        <v>193.44262295081967</v>
      </c>
    </row>
    <row r="42" spans="2:9" x14ac:dyDescent="0.25">
      <c r="B42">
        <v>2016</v>
      </c>
      <c r="C42">
        <v>162</v>
      </c>
      <c r="D42">
        <f t="shared" si="1"/>
        <v>-17</v>
      </c>
      <c r="E42">
        <f>SUM(D4:D42)</f>
        <v>101</v>
      </c>
      <c r="F42" s="5">
        <f t="shared" si="0"/>
        <v>90.502793296089393</v>
      </c>
      <c r="G42" s="5">
        <f>C42/start*100</f>
        <v>265.57377049180326</v>
      </c>
      <c r="H42" s="5">
        <f t="shared" si="2"/>
        <v>-9.4972067039106065</v>
      </c>
      <c r="I42" s="5">
        <f>C42/start*100 - 100</f>
        <v>165.57377049180326</v>
      </c>
    </row>
    <row r="43" spans="2:9" x14ac:dyDescent="0.25">
      <c r="B43">
        <v>2017</v>
      </c>
      <c r="C43">
        <v>153</v>
      </c>
      <c r="D43">
        <f t="shared" si="1"/>
        <v>-9</v>
      </c>
      <c r="E43">
        <f>SUM(D4:D43)</f>
        <v>92</v>
      </c>
      <c r="F43" s="5">
        <f t="shared" si="0"/>
        <v>94.444444444444443</v>
      </c>
      <c r="G43" s="5">
        <f>C43/start*100</f>
        <v>250.81967213114754</v>
      </c>
      <c r="H43" s="5">
        <f t="shared" si="2"/>
        <v>-5.5555555555555571</v>
      </c>
      <c r="I43" s="5">
        <f>C43/start*100 - 100</f>
        <v>150.81967213114754</v>
      </c>
    </row>
    <row r="44" spans="2:9" x14ac:dyDescent="0.25">
      <c r="B44">
        <v>2018</v>
      </c>
      <c r="C44">
        <v>149</v>
      </c>
      <c r="D44">
        <f t="shared" si="1"/>
        <v>-4</v>
      </c>
      <c r="E44">
        <f>SUM(D4:D44)</f>
        <v>88</v>
      </c>
      <c r="F44" s="5">
        <f t="shared" si="0"/>
        <v>97.385620915032675</v>
      </c>
      <c r="G44" s="5">
        <f>C44/start*100</f>
        <v>244.26229508196718</v>
      </c>
      <c r="H44" s="5">
        <f t="shared" si="2"/>
        <v>-2.6143790849673252</v>
      </c>
      <c r="I44" s="5">
        <f>C44/start*100 - 100</f>
        <v>144.26229508196718</v>
      </c>
    </row>
    <row r="45" spans="2:9" x14ac:dyDescent="0.25">
      <c r="B45">
        <v>2019</v>
      </c>
      <c r="C45">
        <v>148</v>
      </c>
      <c r="D45">
        <f t="shared" si="1"/>
        <v>-1</v>
      </c>
      <c r="E45">
        <f>SUM(D4:D45)</f>
        <v>87</v>
      </c>
      <c r="F45" s="5">
        <f t="shared" si="0"/>
        <v>99.328859060402692</v>
      </c>
      <c r="G45" s="5">
        <f>C45/start*100</f>
        <v>242.62295081967213</v>
      </c>
      <c r="H45" s="5">
        <f t="shared" si="2"/>
        <v>-0.67114093959730781</v>
      </c>
      <c r="I45" s="5">
        <f>C45/start*100 - 100</f>
        <v>142.62295081967213</v>
      </c>
    </row>
    <row r="46" spans="2:9" x14ac:dyDescent="0.25">
      <c r="B46">
        <v>2020</v>
      </c>
      <c r="C46">
        <v>159</v>
      </c>
      <c r="D46">
        <f t="shared" si="1"/>
        <v>11</v>
      </c>
      <c r="E46">
        <f>SUM(D4:D46)</f>
        <v>98</v>
      </c>
      <c r="F46" s="5">
        <f t="shared" si="0"/>
        <v>107.43243243243244</v>
      </c>
      <c r="G46" s="5">
        <f>C46/start*100</f>
        <v>260.65573770491801</v>
      </c>
      <c r="H46" s="5">
        <f t="shared" si="2"/>
        <v>7.4324324324324351</v>
      </c>
      <c r="I46" s="5">
        <f>C46/start*100 - 100</f>
        <v>160.65573770491801</v>
      </c>
    </row>
    <row r="48" spans="2:9" x14ac:dyDescent="0.25">
      <c r="C48">
        <f>AVERAGE(C3:C46)</f>
        <v>129.54545454545453</v>
      </c>
      <c r="D48">
        <f>AVERAGE(D4:D46)</f>
        <v>2.2790697674418605</v>
      </c>
      <c r="F48" s="5">
        <f>GEOMEAN(F4:F46)</f>
        <v>102.25298230468033</v>
      </c>
      <c r="H48" s="5">
        <f>F48-100</f>
        <v>2.2529823046803301</v>
      </c>
    </row>
  </sheetData>
  <mergeCells count="5">
    <mergeCell ref="B1:B2"/>
    <mergeCell ref="C1:C2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n</vt:lpstr>
      <vt:lpstr>start</vt:lpstr>
      <vt:lpstr>start_y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</dc:creator>
  <cp:lastModifiedBy>Владислав</cp:lastModifiedBy>
  <dcterms:created xsi:type="dcterms:W3CDTF">2015-06-05T18:19:34Z</dcterms:created>
  <dcterms:modified xsi:type="dcterms:W3CDTF">2026-10-22T02:16:04Z</dcterms:modified>
</cp:coreProperties>
</file>