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3560"/>
  </bookViews>
  <sheets>
    <sheet name="Новый текстовый документ" sheetId="2" r:id="rId1"/>
    <sheet name="Лист1" sheetId="1" r:id="rId2"/>
  </sheets>
  <definedNames>
    <definedName name="X">'Новый текстовый документ'!$A$2:$J$11</definedName>
    <definedName name="n">'Новый текстовый документ'!$A$13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Запрос — Новый текстовый документ" description="Соединение с запросом &quot;Новый текстовый документ&quot; в книге." type="5" background="1" refreshedVersion="2" saveData="1">
    <dbPr connection="Provider=Microsoft.Mashup.OleDb.1;Data Source=$Workbook$;Location=&quot;Новый текстовый документ&quot;;Extended Properties=&quot;&quot;" command="SELECT * FROM [Новый текстовый документ]" commandType="2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<sst xmlns="http://schemas.openxmlformats.org/spreadsheetml/2006/main" count="64" uniqueCount="57">
  <si>
    <t>МИН</t>
  </si>
  <si>
    <t>МАКС</t>
  </si>
  <si>
    <t>РАЗМАХ</t>
  </si>
  <si>
    <t>ДЛИНА h</t>
  </si>
  <si>
    <t>k</t>
  </si>
  <si>
    <t>h округлённая</t>
  </si>
  <si>
    <t>i</t>
  </si>
  <si>
    <t>ai</t>
  </si>
  <si>
    <t>bi</t>
  </si>
  <si>
    <t>xi</t>
  </si>
  <si>
    <t>Частота mi</t>
  </si>
  <si>
    <t>Накопленная
частота miH</t>
  </si>
  <si>
    <t>Относительная
частота</t>
  </si>
  <si>
    <t>Относительная
накопленная частота</t>
  </si>
  <si>
    <t>h</t>
  </si>
  <si>
    <t>Характеристика</t>
  </si>
  <si>
    <t>По исходным данным</t>
  </si>
  <si>
    <t>По интервальному
ряду</t>
  </si>
  <si>
    <t>Момент</t>
  </si>
  <si>
    <t>По интервальному ряду</t>
  </si>
  <si>
    <t>по формуле</t>
  </si>
  <si>
    <t>MS Excel</t>
  </si>
  <si>
    <t>Начальный момент 1-го порядка</t>
  </si>
  <si>
    <t>Характеристики центра группирования</t>
  </si>
  <si>
    <t>Начальный момент 2-го порядка</t>
  </si>
  <si>
    <t>Показатели вариации</t>
  </si>
  <si>
    <t>Средняя арифметическая</t>
  </si>
  <si>
    <t>Начальный момент 3-го порядка</t>
  </si>
  <si>
    <t>Дисперсия</t>
  </si>
  <si>
    <t>Средняя гармоническая</t>
  </si>
  <si>
    <t>Начальный момент 4-го порядка</t>
  </si>
  <si>
    <t>Среднее квадратическое
отклонение</t>
  </si>
  <si>
    <t>Средняя геометрическая</t>
  </si>
  <si>
    <t>Центральный момент 1-го порядка</t>
  </si>
  <si>
    <t>Коэфициент вариации, %</t>
  </si>
  <si>
    <t>Медиана</t>
  </si>
  <si>
    <t>Центральный момент 2-го порядка</t>
  </si>
  <si>
    <t>Центральный момент
первого порядка</t>
  </si>
  <si>
    <t>Мода</t>
  </si>
  <si>
    <t>Центральный момент 3-го порядка</t>
  </si>
  <si>
    <t>Центральный момент
второго порядка</t>
  </si>
  <si>
    <t>Центральный момент 4-го порядка</t>
  </si>
  <si>
    <t>Центральный момент
третьего порядка</t>
  </si>
  <si>
    <t>Центральный момент
четвертого порядка</t>
  </si>
  <si>
    <t xml:space="preserve">Коэффициент асимметрии </t>
  </si>
  <si>
    <t>Коэфициент экцесса</t>
  </si>
  <si>
    <t>x</t>
  </si>
  <si>
    <t>m</t>
  </si>
  <si>
    <t>Показатель</t>
  </si>
  <si>
    <t>Исходные данные</t>
  </si>
  <si>
    <t>Интервальный ряд</t>
  </si>
  <si>
    <t>Ошибка σ</t>
  </si>
  <si>
    <t xml:space="preserve">Коэффициент асимметрии As </t>
  </si>
  <si>
    <t>|As|/σAs</t>
  </si>
  <si>
    <t>Коэффициент эксцесса Ex</t>
  </si>
  <si>
    <t xml:space="preserve">|Ex|/σEx </t>
  </si>
  <si>
    <t>w нак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</si>
</sst>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-* #\ ##0.00_-;\-* #\ ##0.00_-;_-* &quot;-&quot;??_-;_-@_-"/>
    <numFmt numFmtId="177" formatCode="_-* #\ ##0.00\ &quot;₽&quot;_-;\-* #\ ##0.00\ &quot;₽&quot;_-;_-* &quot;-&quot;??\ &quot;₽&quot;_-;_-@_-"/>
    <numFmt numFmtId="178" formatCode="_-* #\ ##0_-;\-* #\ ##0_-;_-* &quot;-&quot;_-;_-@_-"/>
    <numFmt numFmtId="179" formatCode="_-* #\ ##0\ &quot;₽&quot;_-;\-* #\ ##0\ &quot;₽&quot;_-;_-* &quot;-&quot;\ &quot;₽&quot;_-;_-@_-"/>
    <numFmt numFmtId="180" formatCode="0.0000"/>
    <numFmt numFmtId="181" formatCode="0.00000000"/>
    <numFmt numFmtId="182" formatCode="0.000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20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81688894314"/>
        <bgColor theme="9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theme="9" tint="0.399975585192419"/>
      </top>
      <bottom style="thin">
        <color theme="9" tint="0.399975585192419"/>
      </bottom>
      <diagonal/>
    </border>
    <border>
      <left/>
      <right style="thin">
        <color theme="9" tint="0.399975585192419"/>
      </right>
      <top style="thin">
        <color theme="9" tint="0.399975585192419"/>
      </top>
      <bottom style="thin">
        <color theme="9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" fillId="0" borderId="0"/>
  </cellStyleXfs>
  <cellXfs count="20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1" fillId="0" borderId="0" xfId="49"/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 vertical="center"/>
    </xf>
    <xf numFmtId="180" fontId="0" fillId="0" borderId="0" xfId="0" applyNumberFormat="1"/>
    <xf numFmtId="181" fontId="0" fillId="0" borderId="0" xfId="0" applyNumberFormat="1"/>
    <xf numFmtId="2" fontId="0" fillId="0" borderId="0" xfId="0" applyNumberFormat="1" applyAlignment="1">
      <alignment horizontal="right" vertical="center"/>
    </xf>
    <xf numFmtId="180" fontId="0" fillId="0" borderId="0" xfId="0" applyNumberFormat="1" applyAlignment="1">
      <alignment horizontal="right" vertical="center"/>
    </xf>
    <xf numFmtId="181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center" wrapText="1"/>
    </xf>
    <xf numFmtId="182" fontId="0" fillId="0" borderId="0" xfId="0" applyNumberFormat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Обычный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Гистограмма</a:t>
            </a:r>
            <a:r>
              <a:rPr lang="ru-RU" baseline="0"/>
              <a:t> частот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'Новый текстовый документ'!$K$21:$K$28</c:f>
              <c:strCache>
                <c:ptCount val="8"/>
                <c:pt idx="0" c:formatCode="General">
                  <c:v>4,98–5,09</c:v>
                </c:pt>
                <c:pt idx="1" c:formatCode="General">
                  <c:v>5,09–5,20</c:v>
                </c:pt>
                <c:pt idx="2" c:formatCode="General">
                  <c:v>5,20–5,31</c:v>
                </c:pt>
                <c:pt idx="3" c:formatCode="General">
                  <c:v>5,31–5,42</c:v>
                </c:pt>
                <c:pt idx="4" c:formatCode="General">
                  <c:v>5,42–5,53</c:v>
                </c:pt>
                <c:pt idx="5" c:formatCode="General">
                  <c:v>5,53–5,64</c:v>
                </c:pt>
                <c:pt idx="6" c:formatCode="General">
                  <c:v>5,64–5,75</c:v>
                </c:pt>
                <c:pt idx="7" c:formatCode="General">
                  <c:v>5,75–5,86</c:v>
                </c:pt>
              </c:strCache>
            </c:strRef>
          </c:cat>
          <c:val>
            <c:numRef>
              <c:f>'Новый текстовый документ'!$V$3:$V$10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12</c:v>
                </c:pt>
                <c:pt idx="3">
                  <c:v>19</c:v>
                </c:pt>
                <c:pt idx="4">
                  <c:v>29</c:v>
                </c:pt>
                <c:pt idx="5">
                  <c:v>18</c:v>
                </c:pt>
                <c:pt idx="6">
                  <c:v>12</c:v>
                </c:pt>
                <c:pt idx="7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882301760"/>
        <c:axId val="849746160"/>
      </c:barChart>
      <c:catAx>
        <c:axId val="8823017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baseline="0"/>
                  <a:t>Объём основных фондов, млн руб.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9746160"/>
        <c:crosses val="autoZero"/>
        <c:auto val="1"/>
        <c:lblAlgn val="ctr"/>
        <c:lblOffset val="100"/>
        <c:noMultiLvlLbl val="0"/>
      </c:catAx>
      <c:valAx>
        <c:axId val="84974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baseline="0"/>
                  <a:t>Частота mᵢ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2301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619d6c9-15cc-48d7-a006-61de78d6cff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Гистограмма относительных частот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'Новый текстовый документ'!$K$21:$K$28</c:f>
              <c:strCache>
                <c:ptCount val="8"/>
                <c:pt idx="0" c:formatCode="General">
                  <c:v>4,98–5,09</c:v>
                </c:pt>
                <c:pt idx="1" c:formatCode="General">
                  <c:v>5,09–5,20</c:v>
                </c:pt>
                <c:pt idx="2" c:formatCode="General">
                  <c:v>5,20–5,31</c:v>
                </c:pt>
                <c:pt idx="3" c:formatCode="General">
                  <c:v>5,31–5,42</c:v>
                </c:pt>
                <c:pt idx="4" c:formatCode="General">
                  <c:v>5,42–5,53</c:v>
                </c:pt>
                <c:pt idx="5" c:formatCode="General">
                  <c:v>5,53–5,64</c:v>
                </c:pt>
                <c:pt idx="6" c:formatCode="General">
                  <c:v>5,64–5,75</c:v>
                </c:pt>
                <c:pt idx="7" c:formatCode="General">
                  <c:v>5,75–5,86</c:v>
                </c:pt>
              </c:strCache>
            </c:strRef>
          </c:cat>
          <c:val>
            <c:numRef>
              <c:f>'Новый текстовый документ'!$X$3:$X$10</c:f>
              <c:numCache>
                <c:formatCode>General</c:formatCode>
                <c:ptCount val="8"/>
                <c:pt idx="0">
                  <c:v>0.02</c:v>
                </c:pt>
                <c:pt idx="1">
                  <c:v>0.03</c:v>
                </c:pt>
                <c:pt idx="2">
                  <c:v>0.12</c:v>
                </c:pt>
                <c:pt idx="3">
                  <c:v>0.19</c:v>
                </c:pt>
                <c:pt idx="4">
                  <c:v>0.29</c:v>
                </c:pt>
                <c:pt idx="5">
                  <c:v>0.18</c:v>
                </c:pt>
                <c:pt idx="6">
                  <c:v>0.12</c:v>
                </c:pt>
                <c:pt idx="7">
                  <c:v>0.05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882300832"/>
        <c:axId val="849803760"/>
      </c:barChart>
      <c:catAx>
        <c:axId val="8823008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Объём основных фондов, млн руб.</a:t>
                </a:r>
                <a:endParaRPr lang="ru-RU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9803760"/>
        <c:crosses val="autoZero"/>
        <c:auto val="1"/>
        <c:lblAlgn val="ctr"/>
        <c:lblOffset val="100"/>
        <c:noMultiLvlLbl val="0"/>
      </c:catAx>
      <c:valAx>
        <c:axId val="84980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baseline="0"/>
                  <a:t>Относительная частота wᵢ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2300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b358068-b13e-4593-983b-19b8db40641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"Полигон частот"</c:f>
              <c:strCache>
                <c:ptCount val="1"/>
                <c:pt idx="0">
                  <c:v>Полигон частот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'Новый текстовый документ'!$K$32:$K$41</c:f>
              <c:numCache>
                <c:formatCode>General</c:formatCode>
                <c:ptCount val="10"/>
                <c:pt idx="0">
                  <c:v>4.925</c:v>
                </c:pt>
                <c:pt idx="1">
                  <c:v>5.035</c:v>
                </c:pt>
                <c:pt idx="2">
                  <c:v>5.145</c:v>
                </c:pt>
                <c:pt idx="3">
                  <c:v>5.255</c:v>
                </c:pt>
                <c:pt idx="4">
                  <c:v>5.365</c:v>
                </c:pt>
                <c:pt idx="5">
                  <c:v>5.475</c:v>
                </c:pt>
                <c:pt idx="6">
                  <c:v>5.585</c:v>
                </c:pt>
                <c:pt idx="7">
                  <c:v>5.695</c:v>
                </c:pt>
                <c:pt idx="8">
                  <c:v>5.805</c:v>
                </c:pt>
                <c:pt idx="9">
                  <c:v>5.915</c:v>
                </c:pt>
              </c:numCache>
            </c:numRef>
          </c:xVal>
          <c:yVal>
            <c:numRef>
              <c:f>'Новый текстовый документ'!$L$32:$L$41</c:f>
              <c:numCache>
                <c:formatCode>General</c:formatCode>
                <c:ptCount val="10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12</c:v>
                </c:pt>
                <c:pt idx="4">
                  <c:v>19</c:v>
                </c:pt>
                <c:pt idx="5">
                  <c:v>29</c:v>
                </c:pt>
                <c:pt idx="6">
                  <c:v>18</c:v>
                </c:pt>
                <c:pt idx="7">
                  <c:v>12</c:v>
                </c:pt>
                <c:pt idx="8">
                  <c:v>5</c:v>
                </c:pt>
                <c:pt idx="9">
                  <c:v>0</c:v>
                </c:pt>
              </c:numCache>
            </c:numRef>
          </c:y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832783375"/>
        <c:axId val="749586607"/>
      </c:scatterChart>
      <c:valAx>
        <c:axId val="832783375"/>
        <c:scaling>
          <c:orientation val="minMax"/>
          <c:max val="6"/>
          <c:min val="4.8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Объём основных фондов, млн руб.</a:t>
                </a:r>
                <a:endParaRPr lang="ru-RU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9586607"/>
        <c:crosses val="autoZero"/>
        <c:crossBetween val="midCat"/>
        <c:majorUnit val="0.11"/>
      </c:valAx>
      <c:valAx>
        <c:axId val="749586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Частота mᵢ</a:t>
                </a:r>
                <a:endParaRPr lang="ru-RU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2783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547ae05-68bf-4304-b5fb-1432359140a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Кумулята накопленных относительных частот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"Кумулята"</c:f>
              <c:strCache>
                <c:ptCount val="1"/>
                <c:pt idx="0">
                  <c:v>Кумулята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'Новый текстовый документ'!$K$49:$K$57</c:f>
              <c:numCache>
                <c:formatCode>0.00</c:formatCode>
                <c:ptCount val="9"/>
                <c:pt idx="0">
                  <c:v>4.98</c:v>
                </c:pt>
                <c:pt idx="1">
                  <c:v>5.09</c:v>
                </c:pt>
                <c:pt idx="2">
                  <c:v>5.2</c:v>
                </c:pt>
                <c:pt idx="3">
                  <c:v>5.31</c:v>
                </c:pt>
                <c:pt idx="4">
                  <c:v>5.42</c:v>
                </c:pt>
                <c:pt idx="5">
                  <c:v>5.53</c:v>
                </c:pt>
                <c:pt idx="6">
                  <c:v>5.64</c:v>
                </c:pt>
                <c:pt idx="7">
                  <c:v>5.75</c:v>
                </c:pt>
                <c:pt idx="8">
                  <c:v>5.86</c:v>
                </c:pt>
              </c:numCache>
            </c:numRef>
          </c:xVal>
          <c:yVal>
            <c:numRef>
              <c:f>'Новый текстовый документ'!$L$49:$L$57</c:f>
              <c:numCache>
                <c:formatCode>General</c:formatCode>
                <c:ptCount val="9"/>
                <c:pt idx="0">
                  <c:v>0</c:v>
                </c:pt>
                <c:pt idx="1">
                  <c:v>0.02</c:v>
                </c:pt>
                <c:pt idx="2">
                  <c:v>0.05</c:v>
                </c:pt>
                <c:pt idx="3">
                  <c:v>0.17</c:v>
                </c:pt>
                <c:pt idx="4">
                  <c:v>0.36</c:v>
                </c:pt>
                <c:pt idx="5">
                  <c:v>0.65</c:v>
                </c:pt>
                <c:pt idx="6">
                  <c:v>0.83</c:v>
                </c:pt>
                <c:pt idx="7">
                  <c:v>0.95</c:v>
                </c:pt>
                <c:pt idx="8">
                  <c:v>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3039855"/>
        <c:axId val="749613967"/>
      </c:scatterChart>
      <c:valAx>
        <c:axId val="903039855"/>
        <c:scaling>
          <c:orientation val="minMax"/>
          <c:min val="4.9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Объём основных фондов, млн руб.</a:t>
                </a:r>
                <a:endParaRPr lang="ru-RU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9613967"/>
        <c:crosses val="autoZero"/>
        <c:crossBetween val="midCat"/>
        <c:majorUnit val="0.11"/>
      </c:valAx>
      <c:valAx>
        <c:axId val="749613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Относительная накопленная частота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3039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4237d2e-0414-4953-b36d-04a4cddaf8d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66675</xdr:colOff>
      <xdr:row>14</xdr:row>
      <xdr:rowOff>147637</xdr:rowOff>
    </xdr:from>
    <xdr:to>
      <xdr:col>18</xdr:col>
      <xdr:colOff>504825</xdr:colOff>
      <xdr:row>29</xdr:row>
      <xdr:rowOff>33337</xdr:rowOff>
    </xdr:to>
    <xdr:graphicFrame>
      <xdr:nvGraphicFramePr>
        <xdr:cNvPr id="3" name="Диаграмма 2"/>
        <xdr:cNvGraphicFramePr/>
      </xdr:nvGraphicFramePr>
      <xdr:xfrm>
        <a:off x="4862195" y="3302000"/>
        <a:ext cx="5534660" cy="4155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14286</xdr:colOff>
      <xdr:row>14</xdr:row>
      <xdr:rowOff>185737</xdr:rowOff>
    </xdr:from>
    <xdr:to>
      <xdr:col>23</xdr:col>
      <xdr:colOff>1590674</xdr:colOff>
      <xdr:row>29</xdr:row>
      <xdr:rowOff>71437</xdr:rowOff>
    </xdr:to>
    <xdr:graphicFrame>
      <xdr:nvGraphicFramePr>
        <xdr:cNvPr id="4" name="Диаграмма 3"/>
        <xdr:cNvGraphicFramePr/>
      </xdr:nvGraphicFramePr>
      <xdr:xfrm>
        <a:off x="10410825" y="3340100"/>
        <a:ext cx="4015105" cy="4155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590550</xdr:colOff>
      <xdr:row>30</xdr:row>
      <xdr:rowOff>4762</xdr:rowOff>
    </xdr:from>
    <xdr:to>
      <xdr:col>19</xdr:col>
      <xdr:colOff>552450</xdr:colOff>
      <xdr:row>44</xdr:row>
      <xdr:rowOff>80962</xdr:rowOff>
    </xdr:to>
    <xdr:graphicFrame>
      <xdr:nvGraphicFramePr>
        <xdr:cNvPr id="2" name="Диаграмма 1"/>
        <xdr:cNvGraphicFramePr/>
      </xdr:nvGraphicFramePr>
      <xdr:xfrm>
        <a:off x="6117590" y="7642225"/>
        <a:ext cx="4674235" cy="3063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9525</xdr:colOff>
      <xdr:row>46</xdr:row>
      <xdr:rowOff>176212</xdr:rowOff>
    </xdr:from>
    <xdr:to>
      <xdr:col>19</xdr:col>
      <xdr:colOff>581025</xdr:colOff>
      <xdr:row>61</xdr:row>
      <xdr:rowOff>61912</xdr:rowOff>
    </xdr:to>
    <xdr:graphicFrame>
      <xdr:nvGraphicFramePr>
        <xdr:cNvPr id="5" name="Диаграмма 4"/>
        <xdr:cNvGraphicFramePr/>
      </xdr:nvGraphicFramePr>
      <xdr:xfrm>
        <a:off x="6268085" y="11227435"/>
        <a:ext cx="4523740" cy="3086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57"/>
  <sheetViews>
    <sheetView tabSelected="1" zoomScale="148" zoomScaleNormal="148" topLeftCell="AO23" workbookViewId="0">
      <selection activeCell="AT36" sqref="AT36"/>
    </sheetView>
  </sheetViews>
  <sheetFormatPr defaultColWidth="9" defaultRowHeight="16.8"/>
  <cols>
    <col min="1" max="10" width="5" customWidth="1"/>
    <col min="16" max="16" width="11.625"/>
    <col min="17" max="17" width="14.2890625" customWidth="1"/>
    <col min="18" max="18" width="2.140625" customWidth="1"/>
    <col min="19" max="20" width="4.859375" customWidth="1"/>
    <col min="21" max="21" width="6.5703125" customWidth="1"/>
    <col min="22" max="22" width="10.5703125" customWidth="1"/>
    <col min="23" max="23" width="12.5703125" customWidth="1"/>
    <col min="24" max="24" width="15" customWidth="1"/>
    <col min="25" max="25" width="20.4296875" customWidth="1"/>
    <col min="26" max="26" width="4.859375" customWidth="1"/>
    <col min="28" max="28" width="24.7109375" customWidth="1"/>
    <col min="29" max="29" width="12" customWidth="1"/>
    <col min="30" max="30" width="12.2890625" customWidth="1"/>
    <col min="31" max="31" width="17.859375" customWidth="1"/>
    <col min="34" max="34" width="34" customWidth="1"/>
    <col min="35" max="35" width="21.140625" customWidth="1"/>
    <col min="36" max="36" width="23.2890625" customWidth="1"/>
    <col min="39" max="39" width="23.03125" customWidth="1"/>
    <col min="40" max="40" width="11.5625" customWidth="1"/>
    <col min="41" max="41" width="10.015625" customWidth="1"/>
    <col min="42" max="42" width="17.015625" customWidth="1"/>
    <col min="44" max="44" width="25.9375" customWidth="1"/>
    <col min="45" max="45" width="17.125" customWidth="1"/>
    <col min="46" max="46" width="17.875" customWidth="1"/>
    <col min="47" max="47" width="9.5625" customWidth="1"/>
  </cols>
  <sheetData>
    <row r="1" spans="1:26">
      <c r="L1">
        <v>1</v>
      </c>
      <c r="M1">
        <v>1</v>
      </c>
      <c r="N1">
        <v>2</v>
      </c>
      <c r="O1">
        <v>3</v>
      </c>
      <c r="P1">
        <v>3</v>
      </c>
      <c r="Q1">
        <v>3</v>
      </c>
      <c r="S1">
        <v>4</v>
      </c>
      <c r="T1">
        <v>4</v>
      </c>
      <c r="V1">
        <v>5</v>
      </c>
      <c r="W1">
        <v>6</v>
      </c>
      <c r="X1">
        <v>6</v>
      </c>
      <c r="Y1">
        <v>6</v>
      </c>
      <c r="Z1">
        <v>6</v>
      </c>
    </row>
    <row r="2" ht="30" customHeight="1" spans="1:26">
      <c r="A2" s="1">
        <v>5.56</v>
      </c>
      <c r="B2" s="1">
        <v>5.27</v>
      </c>
      <c r="C2" s="1">
        <v>5.02</v>
      </c>
      <c r="D2" s="1">
        <v>5.47</v>
      </c>
      <c r="E2" s="1">
        <v>5.27</v>
      </c>
      <c r="F2" s="1">
        <v>5.37</v>
      </c>
      <c r="G2" s="1">
        <v>5.47</v>
      </c>
      <c r="H2" s="1">
        <v>5.47</v>
      </c>
      <c r="I2" s="1">
        <v>5.33</v>
      </c>
      <c r="J2" s="2">
        <v>5.11</v>
      </c>
      <c r="L2" s="3" t="s">
        <v>0</v>
      </c>
      <c r="M2" s="3" t="s">
        <v>1</v>
      </c>
      <c r="N2" s="3" t="s">
        <v>2</v>
      </c>
      <c r="O2" s="3" t="s">
        <v>3</v>
      </c>
      <c r="P2" s="3" t="s">
        <v>4</v>
      </c>
      <c r="Q2" t="s">
        <v>5</v>
      </c>
      <c r="R2" t="s">
        <v>6</v>
      </c>
      <c r="S2" t="s">
        <v>7</v>
      </c>
      <c r="T2" t="s">
        <v>8</v>
      </c>
      <c r="U2" t="s">
        <v>9</v>
      </c>
      <c r="V2" t="s">
        <v>10</v>
      </c>
      <c r="W2" s="4" t="s">
        <v>11</v>
      </c>
      <c r="X2" s="4" t="s">
        <v>12</v>
      </c>
      <c r="Y2" s="4" t="s">
        <v>13</v>
      </c>
      <c r="Z2" t="s">
        <v>14</v>
      </c>
    </row>
    <row r="3" spans="1:26">
      <c r="A3" s="5">
        <v>5.33</v>
      </c>
      <c r="B3" s="5">
        <v>5.47</v>
      </c>
      <c r="C3" s="5">
        <v>5.33</v>
      </c>
      <c r="D3" s="5">
        <v>5.33</v>
      </c>
      <c r="E3" s="5">
        <v>5.47</v>
      </c>
      <c r="F3" s="5">
        <v>5.05</v>
      </c>
      <c r="G3" s="5">
        <v>5.33</v>
      </c>
      <c r="H3" s="5">
        <v>5.85</v>
      </c>
      <c r="I3" s="5">
        <v>5.68</v>
      </c>
      <c r="J3" s="6">
        <v>5.11</v>
      </c>
      <c r="L3">
        <f>MIN(X)</f>
        <v>5.02</v>
      </c>
      <c r="M3">
        <f>MAX(X)</f>
        <v>5.85</v>
      </c>
      <c r="N3">
        <f>M3-L3</f>
        <v>0.83</v>
      </c>
      <c r="O3">
        <f>N3/P3</f>
        <v>0.108583937137685</v>
      </c>
      <c r="P3">
        <f>1+LOG(n,2)</f>
        <v>7.64385618977472</v>
      </c>
      <c r="Q3">
        <f>ROUNDUP(O3,2)</f>
        <v>0.11</v>
      </c>
      <c r="R3" s="7">
        <v>1</v>
      </c>
      <c r="S3" s="8">
        <v>4.98</v>
      </c>
      <c r="T3" s="8">
        <f>S3+Q3</f>
        <v>5.09</v>
      </c>
      <c r="U3">
        <f>(S3+T3)/2</f>
        <v>5.035</v>
      </c>
      <c r="V3">
        <f>COUNTIFS(X,"&gt;="&amp;S3,X,"&lt;"&amp;T3)</f>
        <v>2</v>
      </c>
      <c r="W3">
        <f>V3</f>
        <v>2</v>
      </c>
      <c r="X3">
        <f>V3/n</f>
        <v>0.02</v>
      </c>
      <c r="Y3">
        <f>W3/n</f>
        <v>0.02</v>
      </c>
      <c r="Z3" s="8">
        <f>X3/Q3</f>
        <v>0.181818181818182</v>
      </c>
    </row>
    <row r="4" spans="1:26">
      <c r="A4" s="1">
        <v>5.54</v>
      </c>
      <c r="B4" s="1">
        <v>5.43</v>
      </c>
      <c r="C4" s="1">
        <v>5.64</v>
      </c>
      <c r="D4" s="1">
        <v>5.21</v>
      </c>
      <c r="E4" s="1">
        <v>5.68</v>
      </c>
      <c r="F4" s="1">
        <v>5.43</v>
      </c>
      <c r="G4" s="1">
        <v>5.79</v>
      </c>
      <c r="H4" s="1">
        <v>5.47</v>
      </c>
      <c r="I4" s="1">
        <v>5.21</v>
      </c>
      <c r="J4" s="2">
        <v>5.47</v>
      </c>
      <c r="P4">
        <f>ROUNDUP(P3,0)</f>
        <v>8</v>
      </c>
      <c r="R4" s="7">
        <v>2</v>
      </c>
      <c r="S4" s="8">
        <f t="shared" ref="S4:S10" si="0">T3</f>
        <v>5.09</v>
      </c>
      <c r="T4" s="8">
        <f>S4+Q3</f>
        <v>5.2</v>
      </c>
      <c r="U4">
        <f t="shared" ref="U4:U10" si="1">(S4+T4)/2</f>
        <v>5.145</v>
      </c>
      <c r="V4">
        <f t="shared" ref="V4:V10" si="2">COUNTIFS(X,"&gt;="&amp;S4,X,"&lt;"&amp;T4)</f>
        <v>3</v>
      </c>
      <c r="W4">
        <f>W3+V4</f>
        <v>5</v>
      </c>
      <c r="X4">
        <f>V4/n</f>
        <v>0.03</v>
      </c>
      <c r="Y4">
        <f>W4/n</f>
        <v>0.05</v>
      </c>
      <c r="Z4" s="8">
        <f>X4/Q3</f>
        <v>0.272727272727273</v>
      </c>
    </row>
    <row r="5" spans="1:26">
      <c r="A5" s="5">
        <v>5.43</v>
      </c>
      <c r="B5" s="5">
        <v>5.43</v>
      </c>
      <c r="C5" s="5">
        <v>5.47</v>
      </c>
      <c r="D5" s="5">
        <v>5.27</v>
      </c>
      <c r="E5" s="5">
        <v>5.68</v>
      </c>
      <c r="F5" s="5">
        <v>5.43</v>
      </c>
      <c r="G5" s="5">
        <v>5.47</v>
      </c>
      <c r="H5" s="5">
        <v>5.79</v>
      </c>
      <c r="I5" s="5">
        <v>5.47</v>
      </c>
      <c r="J5" s="6">
        <v>5.54</v>
      </c>
      <c r="R5" s="7">
        <v>3</v>
      </c>
      <c r="S5" s="8">
        <f t="shared" si="0"/>
        <v>5.2</v>
      </c>
      <c r="T5" s="8">
        <f>S5+Q3</f>
        <v>5.31</v>
      </c>
      <c r="U5">
        <f t="shared" si="1"/>
        <v>5.255</v>
      </c>
      <c r="V5">
        <f t="shared" si="2"/>
        <v>12</v>
      </c>
      <c r="W5">
        <f t="shared" ref="W5:W10" si="3">W4+V5</f>
        <v>17</v>
      </c>
      <c r="X5">
        <f>V5/n</f>
        <v>0.12</v>
      </c>
      <c r="Y5">
        <f>W5/n</f>
        <v>0.17</v>
      </c>
      <c r="Z5" s="8">
        <f>X5/Q3</f>
        <v>1.09090909090909</v>
      </c>
    </row>
    <row r="6" spans="1:26">
      <c r="A6" s="1">
        <v>5.43</v>
      </c>
      <c r="B6" s="1">
        <v>5.43</v>
      </c>
      <c r="C6" s="1">
        <v>5.61</v>
      </c>
      <c r="D6" s="1">
        <v>5.47</v>
      </c>
      <c r="E6" s="1">
        <v>5.27</v>
      </c>
      <c r="F6" s="1">
        <v>5.54</v>
      </c>
      <c r="G6" s="1">
        <v>5.61</v>
      </c>
      <c r="H6" s="1">
        <v>5.54</v>
      </c>
      <c r="I6" s="1">
        <v>5.64</v>
      </c>
      <c r="J6" s="2">
        <v>5.54</v>
      </c>
      <c r="R6" s="7">
        <v>4</v>
      </c>
      <c r="S6" s="8">
        <f t="shared" si="0"/>
        <v>5.31</v>
      </c>
      <c r="T6" s="8">
        <f>S6+Q3</f>
        <v>5.42</v>
      </c>
      <c r="U6">
        <f t="shared" si="1"/>
        <v>5.365</v>
      </c>
      <c r="V6">
        <f t="shared" si="2"/>
        <v>19</v>
      </c>
      <c r="W6">
        <f t="shared" si="3"/>
        <v>36</v>
      </c>
      <c r="X6">
        <f>V6/n</f>
        <v>0.19</v>
      </c>
      <c r="Y6">
        <f>W6/n</f>
        <v>0.36</v>
      </c>
      <c r="Z6" s="8">
        <f>X6/Q3</f>
        <v>1.72727272727273</v>
      </c>
    </row>
    <row r="7" spans="1:26">
      <c r="A7" s="5">
        <v>5.64</v>
      </c>
      <c r="B7" s="5">
        <v>5.43</v>
      </c>
      <c r="C7" s="5">
        <v>5.33</v>
      </c>
      <c r="D7" s="5">
        <v>5.11</v>
      </c>
      <c r="E7" s="5">
        <v>5.33</v>
      </c>
      <c r="F7" s="5">
        <v>5.33</v>
      </c>
      <c r="G7" s="5">
        <v>5.33</v>
      </c>
      <c r="H7" s="5">
        <v>5.54</v>
      </c>
      <c r="I7" s="5">
        <v>5.64</v>
      </c>
      <c r="J7" s="6">
        <v>5.64</v>
      </c>
      <c r="R7" s="7">
        <v>5</v>
      </c>
      <c r="S7" s="8">
        <f t="shared" si="0"/>
        <v>5.42</v>
      </c>
      <c r="T7" s="8">
        <f>S7+Q3</f>
        <v>5.53</v>
      </c>
      <c r="U7">
        <f t="shared" si="1"/>
        <v>5.475</v>
      </c>
      <c r="V7">
        <f t="shared" si="2"/>
        <v>29</v>
      </c>
      <c r="W7">
        <f t="shared" si="3"/>
        <v>65</v>
      </c>
      <c r="X7">
        <f>V7/n</f>
        <v>0.29</v>
      </c>
      <c r="Y7">
        <f>W7/n</f>
        <v>0.65</v>
      </c>
      <c r="Z7" s="8">
        <f>X7/Q3</f>
        <v>2.63636363636364</v>
      </c>
    </row>
    <row r="8" spans="1:26">
      <c r="A8" s="1">
        <v>5.4</v>
      </c>
      <c r="B8" s="1">
        <v>5.68</v>
      </c>
      <c r="C8" s="1">
        <v>5.43</v>
      </c>
      <c r="D8" s="1">
        <v>5.54</v>
      </c>
      <c r="E8" s="1">
        <v>5.43</v>
      </c>
      <c r="F8" s="1">
        <v>5.37</v>
      </c>
      <c r="G8" s="1">
        <v>5.37</v>
      </c>
      <c r="H8" s="1">
        <v>5.21</v>
      </c>
      <c r="I8" s="1">
        <v>5.64</v>
      </c>
      <c r="J8" s="2">
        <v>5.64</v>
      </c>
      <c r="R8" s="7">
        <v>6</v>
      </c>
      <c r="S8" s="8">
        <f t="shared" si="0"/>
        <v>5.53</v>
      </c>
      <c r="T8" s="8">
        <f>S8+Q3</f>
        <v>5.64</v>
      </c>
      <c r="U8">
        <f t="shared" si="1"/>
        <v>5.585</v>
      </c>
      <c r="V8">
        <f t="shared" si="2"/>
        <v>18</v>
      </c>
      <c r="W8">
        <f t="shared" si="3"/>
        <v>83</v>
      </c>
      <c r="X8">
        <f>V8/n</f>
        <v>0.18</v>
      </c>
      <c r="Y8">
        <f>W8/n</f>
        <v>0.83</v>
      </c>
      <c r="Z8" s="8">
        <f>X8/Q3</f>
        <v>1.63636363636364</v>
      </c>
    </row>
    <row r="9" spans="1:26">
      <c r="A9" s="5">
        <v>5.71</v>
      </c>
      <c r="B9" s="5">
        <v>5.47</v>
      </c>
      <c r="C9" s="5">
        <v>5.21</v>
      </c>
      <c r="D9" s="5">
        <v>5.33</v>
      </c>
      <c r="E9" s="5">
        <v>5.43</v>
      </c>
      <c r="F9" s="5">
        <v>5.33</v>
      </c>
      <c r="G9" s="5">
        <v>5.43</v>
      </c>
      <c r="H9" s="5">
        <v>5.27</v>
      </c>
      <c r="I9" s="5">
        <v>5.21</v>
      </c>
      <c r="J9" s="6">
        <v>5.54</v>
      </c>
      <c r="R9" s="7">
        <v>7</v>
      </c>
      <c r="S9" s="8">
        <f t="shared" si="0"/>
        <v>5.64</v>
      </c>
      <c r="T9" s="8">
        <f>S9+Q3</f>
        <v>5.75</v>
      </c>
      <c r="U9">
        <f t="shared" si="1"/>
        <v>5.695</v>
      </c>
      <c r="V9">
        <f t="shared" si="2"/>
        <v>12</v>
      </c>
      <c r="W9">
        <f t="shared" si="3"/>
        <v>95</v>
      </c>
      <c r="X9">
        <f>V9/n</f>
        <v>0.12</v>
      </c>
      <c r="Y9">
        <f>W9/n</f>
        <v>0.95</v>
      </c>
      <c r="Z9" s="8">
        <f>X9/Q3</f>
        <v>1.09090909090909</v>
      </c>
    </row>
    <row r="10" spans="1:26">
      <c r="A10" s="1">
        <v>5.79</v>
      </c>
      <c r="B10" s="1">
        <v>5.58</v>
      </c>
      <c r="C10" s="1">
        <v>5.27</v>
      </c>
      <c r="D10" s="1">
        <v>5.33</v>
      </c>
      <c r="E10" s="1">
        <v>5.4</v>
      </c>
      <c r="F10" s="1">
        <v>5.43</v>
      </c>
      <c r="G10" s="1">
        <v>5.54</v>
      </c>
      <c r="H10" s="1">
        <v>5.54</v>
      </c>
      <c r="I10" s="1">
        <v>5.54</v>
      </c>
      <c r="J10" s="2">
        <v>5.81</v>
      </c>
      <c r="R10" s="7">
        <v>8</v>
      </c>
      <c r="S10" s="8">
        <f t="shared" si="0"/>
        <v>5.75</v>
      </c>
      <c r="T10" s="8">
        <f>S10+Q3</f>
        <v>5.86</v>
      </c>
      <c r="U10">
        <f t="shared" si="1"/>
        <v>5.805</v>
      </c>
      <c r="V10">
        <f t="shared" si="2"/>
        <v>5</v>
      </c>
      <c r="W10">
        <f t="shared" si="3"/>
        <v>100</v>
      </c>
      <c r="X10">
        <f>V10/n</f>
        <v>0.05</v>
      </c>
      <c r="Y10">
        <f>W10/n</f>
        <v>1</v>
      </c>
      <c r="Z10" s="8">
        <f>X10/Q3</f>
        <v>0.454545454545455</v>
      </c>
    </row>
    <row r="11" spans="1:26">
      <c r="A11" s="5">
        <v>5.39</v>
      </c>
      <c r="B11" s="5">
        <v>5.47</v>
      </c>
      <c r="C11" s="5">
        <v>5.47</v>
      </c>
      <c r="D11" s="5">
        <v>5.27</v>
      </c>
      <c r="E11" s="5">
        <v>5.58</v>
      </c>
      <c r="F11" s="5">
        <v>5.43</v>
      </c>
      <c r="G11" s="5">
        <v>5.43</v>
      </c>
      <c r="H11" s="5">
        <v>5.33</v>
      </c>
      <c r="I11" s="5">
        <v>5.61</v>
      </c>
      <c r="J11" s="6">
        <v>5.54</v>
      </c>
    </row>
    <row r="13" spans="1:26">
      <c r="A13">
        <f>COUNT(X)</f>
        <v>100</v>
      </c>
    </row>
    <row r="19" ht="19" customHeight="1" spans="11:47">
      <c r="AB19" s="9" t="s">
        <v>15</v>
      </c>
      <c r="AC19" s="10" t="s">
        <v>16</v>
      </c>
      <c r="AD19" s="10"/>
      <c r="AE19" s="11" t="s">
        <v>17</v>
      </c>
      <c r="AH19" t="s">
        <v>18</v>
      </c>
      <c r="AI19" t="s">
        <v>16</v>
      </c>
      <c r="AJ19" t="s">
        <v>19</v>
      </c>
      <c r="AM19" s="9" t="s">
        <v>15</v>
      </c>
      <c r="AN19" s="9" t="s">
        <v>16</v>
      </c>
      <c r="AO19" s="9"/>
      <c r="AP19" s="11" t="s">
        <v>17</v>
      </c>
    </row>
    <row r="20" spans="11:47">
      <c r="K20" t="str">
        <f>TEXT(S2,"0,00")&amp;"–"&amp;TEXT(T2,"0,00")</f>
        <v>ai–bi</v>
      </c>
      <c r="AB20" s="9"/>
      <c r="AC20" t="s">
        <v>20</v>
      </c>
      <c r="AD20" t="s">
        <v>21</v>
      </c>
      <c r="AE20" s="9"/>
      <c r="AH20" t="s">
        <v>22</v>
      </c>
      <c r="AI20" cm="1">
        <f t="array" ref="AI20">SUMPRODUCT(X^1)/100</f>
        <v>5.4493</v>
      </c>
      <c r="AJ20" cm="1">
        <f t="array" ref="AJ20">SUMPRODUCT(V3:V10,U3:U10^1)/100</f>
        <v>5.4717</v>
      </c>
      <c r="AM20" s="9"/>
      <c r="AN20" s="9" t="s">
        <v>20</v>
      </c>
      <c r="AO20" s="9" t="s">
        <v>21</v>
      </c>
      <c r="AP20" s="9"/>
    </row>
    <row r="21" spans="11:47">
      <c r="K21" t="str">
        <f t="shared" ref="K21:K28" si="4">TEXT(S3,"0,00")&amp;"–"&amp;TEXT(T3,"0,00")</f>
        <v>4,98–5,09</v>
      </c>
      <c r="AB21" s="10" t="s">
        <v>23</v>
      </c>
      <c r="AC21" s="10"/>
      <c r="AD21" s="10"/>
      <c r="AE21" s="10"/>
      <c r="AH21" t="s">
        <v>24</v>
      </c>
      <c r="AI21" cm="1">
        <f t="array" ref="AI21">SUMPRODUCT(X^2)/100</f>
        <v>29.723083</v>
      </c>
      <c r="AJ21" cm="1">
        <f t="array" ref="AJ21">SUMPRODUCT(V3:V10,U3:U10^2)/100</f>
        <v>29.968167</v>
      </c>
      <c r="AM21" s="10" t="s">
        <v>25</v>
      </c>
      <c r="AN21" s="10"/>
      <c r="AO21" s="10"/>
      <c r="AP21" s="10"/>
    </row>
    <row r="22" spans="11:47">
      <c r="K22" t="str">
        <f t="shared" si="4"/>
        <v>5,09–5,20</v>
      </c>
      <c r="AB22" t="s">
        <v>26</v>
      </c>
      <c r="AC22">
        <f>SUM(X)/n</f>
        <v>5.4493</v>
      </c>
      <c r="AD22">
        <f>AVERAGE(X)</f>
        <v>5.4493</v>
      </c>
      <c r="AE22" cm="1">
        <f t="array" ref="AE22">SUMPRODUCT(U3:U10,V3:V10)/n</f>
        <v>5.4717</v>
      </c>
      <c r="AH22" t="s">
        <v>27</v>
      </c>
      <c r="AI22" cm="1">
        <f t="array" ref="AI22">SUMPRODUCT(X^3)/100</f>
        <v>162.27726979</v>
      </c>
      <c r="AJ22" cm="1">
        <f t="array" ref="AJ22">SUMPRODUCT(V3:V10,U3:U10^3)/100</f>
        <v>164.2898096625</v>
      </c>
      <c r="AM22" t="s">
        <v>28</v>
      </c>
      <c r="AN22" s="12">
        <f>AI25</f>
        <v>0.02821251</v>
      </c>
      <c r="AO22" s="12">
        <f>_xlfn.VAR.P(X)</f>
        <v>0.02821251</v>
      </c>
      <c r="AP22" s="12">
        <f>AJ25</f>
        <v>0.0286661100000002</v>
      </c>
    </row>
    <row r="23" ht="34" spans="11:47">
      <c r="K23" t="str">
        <f t="shared" si="4"/>
        <v>5,20–5,31</v>
      </c>
      <c r="AB23" t="s">
        <v>29</v>
      </c>
      <c r="AC23" s="13" cm="1">
        <f t="array" ref="AC23">n/SUMPRODUCT(1/X)</f>
        <v>5.44410601929593</v>
      </c>
      <c r="AD23" s="13">
        <f>HARMEAN(X)</f>
        <v>5.44410601929593</v>
      </c>
      <c r="AE23" s="13" cm="1">
        <f t="array" ref="AE23">n/SUMPRODUCT(V3:V10,1/U3:U10)</f>
        <v>5.46642788905488</v>
      </c>
      <c r="AH23" t="s">
        <v>30</v>
      </c>
      <c r="AI23" cm="1">
        <f t="array" ref="AI23">SUMPRODUCT(X^4)/100</f>
        <v>886.8098782471</v>
      </c>
      <c r="AJ23" cm="1">
        <f t="array" ref="AJ23">SUMPRODUCT(V3:V10,U3:U10^4)/100</f>
        <v>901.509874777726</v>
      </c>
      <c r="AM23" s="4" t="s">
        <v>31</v>
      </c>
      <c r="AN23" s="12">
        <f>SQRT(AN22)</f>
        <v>0.167965800090376</v>
      </c>
      <c r="AO23" s="12"/>
      <c r="AP23" s="12">
        <f>SQRT(AP22)</f>
        <v>0.169310690743379</v>
      </c>
    </row>
    <row r="24" spans="11:47">
      <c r="K24" t="str">
        <f t="shared" si="4"/>
        <v>5,31–5,42</v>
      </c>
      <c r="AB24" t="s">
        <v>32</v>
      </c>
      <c r="AC24" s="13">
        <f>(PRODUCT(X)^(1/n))</f>
        <v>5.44670600437583</v>
      </c>
      <c r="AD24" s="13">
        <f>GEOMEAN(X)</f>
        <v>5.44670600437583</v>
      </c>
      <c r="AE24" s="13" cm="1">
        <f t="array" ref="AE24">PRODUCT(U3:U10^V3:V10)^(1/n)</f>
        <v>5.46906961756163</v>
      </c>
      <c r="AH24" t="s">
        <v>33</v>
      </c>
      <c r="AI24" s="14" cm="1">
        <f t="array" ref="AI24">SUMPRODUCT((X-AVERAGE(X))^1)/100</f>
        <v>7.37188088351104e-16</v>
      </c>
      <c r="AJ24" s="14" cm="1">
        <f t="array" ref="AJ24">SUMPRODUCT(V3:V10,(U3:U10-SUMPRODUCT(U3:U10,V3:V10)/SUM(V3:V10))^1)/100</f>
        <v>-1.95399252334028e-16</v>
      </c>
      <c r="AM24" t="s">
        <v>34</v>
      </c>
      <c r="AN24" s="15">
        <f>AN23/AVERAGE(X)*100</f>
        <v>3.0823371825808</v>
      </c>
      <c r="AO24" s="16"/>
      <c r="AP24" s="15" cm="1">
        <f t="array" ref="AP24">AP23/(SUMPRODUCT(U3:U10,V3:V10)/SUM(V3:V10))*100</f>
        <v>3.09429776382804</v>
      </c>
    </row>
    <row r="25" ht="34" spans="11:47">
      <c r="K25" t="str">
        <f t="shared" si="4"/>
        <v>5,42–5,53</v>
      </c>
      <c r="AB25" t="s">
        <v>35</v>
      </c>
      <c r="AC25">
        <f>(SMALL(X,50)+SMALL(X,51))/2</f>
        <v>5.43</v>
      </c>
      <c r="AD25">
        <f>MEDIAN(X)</f>
        <v>5.43</v>
      </c>
      <c r="AE25">
        <v>5.4731</v>
      </c>
      <c r="AH25" t="s">
        <v>36</v>
      </c>
      <c r="AI25" cm="1">
        <f t="array" ref="AI25">SUMPRODUCT((X-AVERAGE(X))^2)/100</f>
        <v>0.02821251</v>
      </c>
      <c r="AJ25" s="14" cm="1">
        <f t="array" ref="AJ25">SUMPRODUCT(V3:V10,(U3:U10-SUMPRODUCT(U3:U10,V3:V10)/SUM(V3:V10))^2)/100</f>
        <v>0.0286661100000002</v>
      </c>
      <c r="AM25" s="4" t="s">
        <v>37</v>
      </c>
      <c r="AN25" s="17">
        <f>AI24</f>
        <v>7.37188088351104e-16</v>
      </c>
      <c r="AO25" s="12"/>
      <c r="AP25" s="17">
        <f>AJ24</f>
        <v>-1.95399252334028e-16</v>
      </c>
    </row>
    <row r="26" ht="34" spans="11:47">
      <c r="K26" t="str">
        <f t="shared" si="4"/>
        <v>5,53–5,64</v>
      </c>
      <c r="AB26" t="s">
        <v>38</v>
      </c>
      <c r="AC26">
        <v>5.43</v>
      </c>
      <c r="AD26">
        <f>_xlfn.MODE.SNGL(X)</f>
        <v>5.43</v>
      </c>
      <c r="AE26">
        <v>5.4724</v>
      </c>
      <c r="AH26" t="s">
        <v>39</v>
      </c>
      <c r="AI26" cm="1">
        <f t="array" ref="AI26">SUMPRODUCT((X-AVERAGE(X))^3)/100</f>
        <v>-0.000203263385999937</v>
      </c>
      <c r="AJ26" s="14" cm="1">
        <f t="array" ref="AJ26">SUMPRODUCT(V3:V10,(U3:U10-SUMPRODUCT(U3:U10,V3:V10)/SUM(V3:V10))^3)/100</f>
        <v>-0.000714419574000022</v>
      </c>
      <c r="AM26" s="4" t="s">
        <v>40</v>
      </c>
      <c r="AN26" s="12">
        <f>AI26</f>
        <v>-0.000203263385999937</v>
      </c>
      <c r="AO26" s="12"/>
      <c r="AP26" s="12">
        <f>AJ25</f>
        <v>0.0286661100000002</v>
      </c>
    </row>
    <row r="27" ht="34" spans="11:47">
      <c r="K27" t="str">
        <f t="shared" si="4"/>
        <v>5,64–5,75</v>
      </c>
      <c r="AH27" t="s">
        <v>41</v>
      </c>
      <c r="AI27" cm="1">
        <f t="array" ref="AI27">SUMPRODUCT((X-AVERAGE(X))^4)/100</f>
        <v>0.0023744180174997</v>
      </c>
      <c r="AJ27" s="14" cm="1">
        <f t="array" ref="AJ27">SUMPRODUCT(V3:V10,(U3:U10-SUMPRODUCT(U3:U10,V3:V10)/SUM(V3:V10))^4)/100</f>
        <v>0.00230343859940373</v>
      </c>
      <c r="AM27" s="4" t="s">
        <v>42</v>
      </c>
      <c r="AN27" s="12">
        <f>AI27</f>
        <v>0.0023744180174997</v>
      </c>
      <c r="AO27" s="12"/>
      <c r="AP27" s="12">
        <f>AJ26</f>
        <v>-0.000714419574000022</v>
      </c>
    </row>
    <row r="28" ht="30" customHeight="1" spans="11:47">
      <c r="K28" t="str">
        <f t="shared" si="4"/>
        <v>5,75–5,86</v>
      </c>
      <c r="AM28" s="18" t="s">
        <v>43</v>
      </c>
      <c r="AN28" s="12">
        <f>AI27</f>
        <v>0.0023744180174997</v>
      </c>
      <c r="AO28" s="12"/>
      <c r="AP28" s="12">
        <f>AJ27</f>
        <v>0.00230343859940373</v>
      </c>
    </row>
    <row r="29" spans="11:47">
      <c r="AM29" t="s">
        <v>44</v>
      </c>
      <c r="AN29" s="12">
        <f>AI26/AN23^3</f>
        <v>-0.0428940019139835</v>
      </c>
      <c r="AO29" s="12">
        <f>SKEW(X)</f>
        <v>-0.0435499928894295</v>
      </c>
      <c r="AP29" s="12">
        <f>AJ26/AP23^3</f>
        <v>-0.147197420844705</v>
      </c>
    </row>
    <row r="30" spans="11:47">
      <c r="AM30" t="s">
        <v>45</v>
      </c>
      <c r="AN30" s="12">
        <f>AI27/AN23^4-3</f>
        <v>-0.0168593707522868</v>
      </c>
      <c r="AO30" s="12">
        <f>KURT((X))</f>
        <v>0.0447531192770798</v>
      </c>
      <c r="AP30" s="12">
        <f>AJ27/AP23^4-3</f>
        <v>-0.196896626523966</v>
      </c>
    </row>
    <row r="31" spans="11:47">
      <c r="K31" t="s">
        <v>46</v>
      </c>
      <c r="L31" t="s">
        <v>47</v>
      </c>
    </row>
    <row r="32" spans="11:47">
      <c r="K32">
        <f>U3-Q3</f>
        <v>4.925</v>
      </c>
      <c r="L32">
        <v>0</v>
      </c>
      <c r="AR32" t="s">
        <v>48</v>
      </c>
      <c r="AS32" t="s">
        <v>49</v>
      </c>
      <c r="AT32" t="s">
        <v>50</v>
      </c>
      <c r="AU32" t="s">
        <v>51</v>
      </c>
    </row>
    <row r="33" spans="11:47">
      <c r="K33">
        <f>U3</f>
        <v>5.035</v>
      </c>
      <c r="L33">
        <f>V3</f>
        <v>2</v>
      </c>
      <c r="AR33" t="s">
        <v>52</v>
      </c>
      <c r="AS33" s="13">
        <f>AN29</f>
        <v>-0.0428940019139835</v>
      </c>
      <c r="AT33" s="13">
        <f>AP29</f>
        <v>-0.147197420844705</v>
      </c>
      <c r="AU33" s="19">
        <f>SQRT(6*(n-1)/((n+1)*(n+3)))</f>
        <v>0.238953790040821</v>
      </c>
    </row>
    <row r="34" spans="11:47">
      <c r="K34">
        <f t="shared" ref="K34:L34" si="5">U4</f>
        <v>5.145</v>
      </c>
      <c r="L34">
        <f t="shared" si="5"/>
        <v>3</v>
      </c>
      <c r="AR34" t="s">
        <v>53</v>
      </c>
      <c r="AS34" s="8">
        <f>ABS(AS33)/AU33</f>
        <v>0.179507518615444</v>
      </c>
      <c r="AT34" s="8">
        <f>ABS(AT33)/AU33</f>
        <v>0.616007893490869</v>
      </c>
    </row>
    <row r="35" spans="11:47">
      <c r="K35">
        <f t="shared" ref="K35:L35" si="6">U5</f>
        <v>5.255</v>
      </c>
      <c r="L35">
        <f t="shared" si="6"/>
        <v>12</v>
      </c>
      <c r="AR35" t="s">
        <v>54</v>
      </c>
      <c r="AS35" s="13">
        <f>AN30</f>
        <v>-0.0168593707522868</v>
      </c>
      <c r="AT35" s="13">
        <f>AO30</f>
        <v>0.0447531192770798</v>
      </c>
      <c r="AU35">
        <f>SQRT(24*n*(n-2)*(n-3)/((n-1)^2*(n+3)*(n+5)))</f>
        <v>0.463933858815294</v>
      </c>
    </row>
    <row r="36" spans="11:47">
      <c r="K36">
        <f t="shared" ref="K36:L36" si="7">U6</f>
        <v>5.365</v>
      </c>
      <c r="L36">
        <f t="shared" si="7"/>
        <v>19</v>
      </c>
      <c r="AR36" t="s">
        <v>55</v>
      </c>
      <c r="AS36" s="13">
        <f>ABS(AS35)/AU35</f>
        <v>0.0363400308728038</v>
      </c>
      <c r="AT36" s="13">
        <f>ABS(AT35)/AU35</f>
        <v>0.0964644386839146</v>
      </c>
    </row>
    <row r="37" spans="11:47">
      <c r="K37">
        <f t="shared" ref="K37:L37" si="8">U7</f>
        <v>5.475</v>
      </c>
      <c r="L37">
        <f t="shared" si="8"/>
        <v>29</v>
      </c>
    </row>
    <row r="38" spans="11:47">
      <c r="K38">
        <f t="shared" ref="K38:L38" si="9">U8</f>
        <v>5.585</v>
      </c>
      <c r="L38">
        <f t="shared" si="9"/>
        <v>18</v>
      </c>
    </row>
    <row r="39" spans="11:47">
      <c r="K39">
        <f t="shared" ref="K39:L39" si="10">U9</f>
        <v>5.695</v>
      </c>
      <c r="L39">
        <f t="shared" si="10"/>
        <v>12</v>
      </c>
    </row>
    <row r="40" spans="11:47">
      <c r="K40">
        <f t="shared" ref="K40:L40" si="11">U10</f>
        <v>5.805</v>
      </c>
      <c r="L40">
        <f t="shared" si="11"/>
        <v>5</v>
      </c>
    </row>
    <row r="41" spans="11:47">
      <c r="K41">
        <f>U10+Q3</f>
        <v>5.915</v>
      </c>
      <c r="L41">
        <v>0</v>
      </c>
    </row>
    <row r="48" spans="11:47">
      <c r="K48" t="s">
        <v>46</v>
      </c>
      <c r="L48" t="s">
        <v>56</v>
      </c>
    </row>
    <row r="49" spans="11:12">
      <c r="K49" s="8">
        <f>S3</f>
        <v>4.98</v>
      </c>
      <c r="L49">
        <v>0</v>
      </c>
    </row>
    <row r="50" spans="11:12">
      <c r="K50" s="8">
        <f>T3</f>
        <v>5.09</v>
      </c>
      <c r="L50">
        <f>Y3</f>
        <v>0.02</v>
      </c>
    </row>
    <row r="51" spans="11:12">
      <c r="K51" s="8">
        <f t="shared" ref="K51:K57" si="12">T4</f>
        <v>5.2</v>
      </c>
      <c r="L51">
        <f t="shared" ref="L51:L57" si="13">Y4</f>
        <v>0.05</v>
      </c>
    </row>
    <row r="52" spans="11:12">
      <c r="K52" s="8">
        <f t="shared" si="12"/>
        <v>5.31</v>
      </c>
      <c r="L52">
        <f t="shared" si="13"/>
        <v>0.17</v>
      </c>
    </row>
    <row r="53" spans="11:12">
      <c r="K53" s="8">
        <f t="shared" si="12"/>
        <v>5.42</v>
      </c>
      <c r="L53">
        <f t="shared" si="13"/>
        <v>0.36</v>
      </c>
    </row>
    <row r="54" spans="11:12">
      <c r="K54" s="8">
        <f t="shared" si="12"/>
        <v>5.53</v>
      </c>
      <c r="L54">
        <f t="shared" si="13"/>
        <v>0.65</v>
      </c>
    </row>
    <row r="55" spans="11:12">
      <c r="K55" s="8">
        <f t="shared" si="12"/>
        <v>5.64</v>
      </c>
      <c r="L55">
        <f t="shared" si="13"/>
        <v>0.83</v>
      </c>
    </row>
    <row r="56" spans="11:12">
      <c r="K56" s="8">
        <f t="shared" si="12"/>
        <v>5.75</v>
      </c>
      <c r="L56">
        <f t="shared" si="13"/>
        <v>0.95</v>
      </c>
    </row>
    <row r="57" spans="11:12">
      <c r="K57" s="8">
        <f t="shared" si="12"/>
        <v>5.86</v>
      </c>
      <c r="L57">
        <f t="shared" si="13"/>
        <v>1</v>
      </c>
    </row>
  </sheetData>
  <mergeCells count="8">
    <mergeCell ref="AC19:AD19"/>
    <mergeCell ref="AN19:AO19"/>
    <mergeCell ref="AB21:AE21"/>
    <mergeCell ref="AM21:AP21"/>
    <mergeCell ref="AB19:AB20"/>
    <mergeCell ref="AE19:AE20"/>
    <mergeCell ref="AM19:AM20"/>
    <mergeCell ref="AP19:AP20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2" sqref="B2"/>
    </sheetView>
  </sheetViews>
  <sheetFormatPr defaultColWidth="9" defaultRowHeight="16.8"/>
  <sheetData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KIE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APsvA0RAEAAK0CAAATAAAARm9ybXVsYXMvU2VjdGlvbjEubZWQvUoDQRDH+4N7h2VtEliOXDR+hasuWoqSdMYiH6ue3O3K7Z4YQgojYpHGMo3vEERJjEZfYfaNnHAEIbCg28zM/maY//wV7+hIClLPo191HddRl62Ud8kGhWf4ghczgndihvAGc3OHcfUFr5jOzT18IlqYISUBibl2HYIPxnmveYQFzGCOLFQ3Xk12soQLXTiMYu6FUmgsVIGG+83jVF6hCtWEJxyZwAeOTQkumWC5MCPz0PyfHk/falpkpzUeR0mkeRpQQhkJZZwlQgV+iZED0ZHdSFwEfrniM3KSSc3ruhfz4Df1jqTgZ0WW34WmjGGan7w8e6kst2cG30sHGq02XtZIW0KdyzTJtzV611wV1j1h/T7NuY+6NPYQkSVtng4YWZGylWxayZaVVKxk20p2rGTXSvasxC+toUHRdSLxF3OrP1BLAwQUAAAACACHTuJAf7/Typ0AAADkAAAAEwAAAFtDb250ZW50X1R5cGVzXS54bWxtj0sOwjAMRK8SeZ+6sEAINe2icAMuEAX3I5qPGheF25PQHWLp8TzPuOmSXcSL1jh7p+BQ1SDIGf+Y3ahg40GeoWub+ztQFNnqooKJOVwQo5nI6lj5QC5vBr9azXlcRwzaPPVIeKzrExrvmBxLLjegba406G1hcUtZ3mMzDqLffSVKAVNiLDL+BeyPXYewzEZzfgKTtFHaAuK3dvsBUEsBAhQAFAAAAAgAh07iQH+/08qdAAAA5AAAABMAAAAAAAAAAQAgAAAAkAIAAFtDb250ZW50X1R5cGVzXS54bWxQSwECFAAKAAAAAACHTuJAAAAAAAAAAAAAAAAABwAAAAAAAAAAABAAAAAAAAAAQ29uZmlnL1BLAQIUABQAAAAIAIdO4kASOP6YnwAAAPMAAAASAAAAAAAAAAEAIAAAACUAAABDb25maWcvUGFja2FnZS54bWxQSwECFAAKAAAAAACHTuJAAAAAAAAAAAAAAAAACQAAAAAAAAAAABAAAAD0AAAARm9ybXVsYXMvUEsBAhQAFAAAAAgAh07iQA+y8DREAQAArQIAABMAAAAAAAAAAQAgAAAAGwEAAEZvcm11bGFzL1NlY3Rpb24xLm1QSwUGAAAAAAUABQAuAQAAXgMAAAAADgEAADw/eG1sIHZlcnNpb249IjEuMCIgZW5jb2Rpbmc9InV0Zi04IiA/PjxQZXJtaXNzaW9uTGlzdCB4bWxuczp4c2Q9Imh0dHA6Ly93d3cudzMub3JnLzIwMDEvWE1MU2NoZW1hIiB4bWxuczp4c2k9Imh0dHA6Ly93d3cudzMub3JnLzIwMDEvWE1MU2NoZW1hLWluc3RhbmNlIj48Q2FuRXZhbHVhdGVGdXR1cmVQYWNrYWdlcz5mYWxzZTwvQ2FuRXZhbHVhdGVGdXR1cmVQYWNrYWdlcz48RmlyZXdhbGxFbmFibGVkPnRydWU8L0ZpcmV3YWxsRW5hYmxlZD48L1Blcm1pc3Npb25MaXN0PuEEAAAAAAAAvwQAADw/eG1sIHZlcnNpb249IjEuMCIgZW5jb2Rpbmc9InV0Zi04IiA/PjxMb2NhbFBhY2thZ2VNZXRhZGF0YUZpbGUgeG1sbnM6eHNkPSJodHRwOi8vd3d3LnczLm9yZy8yMDAxL1hNTFNjaGVtYSIgeG1sbnM6eHNpPSJodHRwOi8vd3d3LnczLm9yZy8yMDAxL1hNTFNjaGVtYS1pbnN0YW5jZSI+PEl0ZW1zPjxJdGVtPjxJdGVtTG9jYXRpb24+PEl0ZW1UeXBlPkFsbEZvcm11bGFzPC9JdGVtVHlwZT48SXRlbVBhdGggLz48L0l0ZW1Mb2NhdGlvbj48U3RhYmxlRW50cmllcyAvPjwvSXRlbT48SXRlbT48SXRlbUxvY2F0aW9uPjxJdGVtVHlwZT5Gb3JtdWxhPC9JdGVtVHlwZT48SXRlbVBhdGg+U2VjdGlvbjEvJUQwJTlEJUQwJUJFJUQwJUIyJUQxJThCJUQwJUI5JTIwJUQxJTgyJUQwJUI1JUQwJUJBJUQxJTgxJUQxJTgyJUQwJUJFJUQwJUIyJUQxJThCJUQwJUI5JTIwJUQwJUI0JUQwJUJFJUQwJUJBJUQxJTgzJUQwJUJDJUQwJUI1JUQwJUJEJUQxJTgyPC9JdGVtUGF0aD48L0l0ZW1Mb2NhdGlvbj48U3RhYmxlRW50cmllcz48RW50cnkgVHlwZT0iSXNQcml2YXRlIiBWYWx1ZT0ibDAiIC8+PEVudHJ5IFR5cGU9IkZpbGxFbmFibGVkIiBWYWx1ZT0ibDAiIC8+PEVudHJ5IFR5cGU9IkZpbGxPYmplY3RUeXBlIiBWYWx1ZT0ic0Nvbm5lY3Rpb25Pbmx5IiAvPjxFbnRyeSBUeXBlPSJRdWVyeUlEIiBWYWx1ZT0iczFhY2Y1ZTkyLTRkZDUtNGU1ZC1hZTQ5LTdjODUwNzk1MmZiMSIgLz48RW50cnkgVHlwZT0iUmVzdWx0VHlwZSIgVmFsdWU9InNUYWJsZSIgLz48RW50cnkgVHlwZT0iRmlsbENvdW50IiBWYWx1ZT0ibDEwIiAvPjxFbnRyeSBUeXBlPSJGaWxsRXJyb3JDb3VudCIgVmFsdWU9ImwwIiAvPjxFbnRyeSBUeXBlPSJGaWxsTGFzdFVwZGF0ZWQiIFZhbHVlPSJkMjAyNi0wOS0xMFQwNjoyMzo0Mi42ODAwMDAwWiIgLz48RW50cnkgVHlwZT0iRmlsbENvbHVtbk5hbWVzIiBWYWx1ZT0nc1smcXVvdDtDb2x1bW4xJnF1b3Q7LCZxdW90O0NvbHVtbjImcXVvdDssJnF1b3Q7Q29sdW1uMyZxdW90OywmcXVvdDtDb2x1bW40JnF1b3Q7LCZxdW90O0NvbHVtbjUmcXVvdDssJnF1b3Q7Q29sdW1uNiZxdW90OywmcXVvdDtDb2x1bW43JnF1b3Q7LCZxdW90O0NvbHVtbjgmcXVvdDssJnF1b3Q7Q29sdW1uOSZxdW90OywmcXVvdDtDb2x1bW4xMCZxdW90O10nIC8+PC9TdGFibGVFbnRyaWVzPjwvSXRlbT48L0l0ZW1zPjwvTG9jYWxQYWNrYWdlTWV0YWRhdGFGaWxlPhYAAABQSwUGAAAAAAAAAAAAAAAAAAAAAAAAAQAAAAA=</DataMashup>
</file>

<file path=customXml/itemProps1.xml><?xml version="1.0" encoding="utf-8"?>
<ds:datastoreItem xmlns:ds="http://schemas.openxmlformats.org/officeDocument/2006/customXml" ds:itemID="{0D355E50-2AD1-4F1F-8FA7-C6661331946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Новый текстовый документ</vt:lpstr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Владислав</dc:creator>
  <cp:lastModifiedBy>vladislav</cp:lastModifiedBy>
  <dcterms:created xsi:type="dcterms:W3CDTF">2015-06-06T12:19:00Z</dcterms:created>
  <dcterms:modified xsi:type="dcterms:W3CDTF">2026-10-08T12:14:29Z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B571AEED4A64DE910FFBC56A6EF19684_42</vt:lpwstr>
  </property>
  <property fmtid="{D5CDD505-2E9C-101B-9397-08002B2CF9AE}" pid="3" name="KSOProductBuildVer">
    <vt:lpwstr>1033-12.1.29166.29166</vt:lpwstr>
  </property>
  <property fmtid="{D5CDD505-2E9C-101B-9397-08002B2CF9AE}" pid="4" name="CalculationRule">
    <vt:i4>0</vt:i4>
  </property>
</Properties>
</file>